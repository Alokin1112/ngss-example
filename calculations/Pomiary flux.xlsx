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queryTables/queryTable1.xml" ContentType="application/vnd.openxmlformats-officedocument.spreadsheetml.queryTable+xml"/>
  <Override PartName="/xl/drawings/drawing4.xml" ContentType="application/vnd.openxmlformats-officedocument.drawing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G:\Szkola\Studia\ngss\calculations\"/>
    </mc:Choice>
  </mc:AlternateContent>
  <xr:revisionPtr revIDLastSave="0" documentId="13_ncr:1_{3A643BFF-8C3F-477D-B6B8-5CA68FB81401}" xr6:coauthVersionLast="47" xr6:coauthVersionMax="47" xr10:uidLastSave="{00000000-0000-0000-0000-000000000000}"/>
  <bookViews>
    <workbookView xWindow="-120" yWindow="-120" windowWidth="38640" windowHeight="15840" activeTab="3" xr2:uid="{00000000-000D-0000-FFFF-FFFF00000000}"/>
  </bookViews>
  <sheets>
    <sheet name="Czas aktywacji akcji" sheetId="2" r:id="rId1"/>
    <sheet name="Czas obsługi akcji" sheetId="1" r:id="rId2"/>
    <sheet name="Zużycie pamięci" sheetId="3" r:id="rId3"/>
    <sheet name="Czas przywracania ostatniego st" sheetId="4" r:id="rId4"/>
    <sheet name="Porównanie kodu WebAssembly-JS" sheetId="6" r:id="rId5"/>
    <sheet name="Czas przywracania najst stanu" sheetId="7" r:id="rId6"/>
    <sheet name="Podsumowanie" sheetId="5" r:id="rId7"/>
  </sheets>
  <definedNames>
    <definedName name="_xlnm._FilterDatabase" localSheetId="0" hidden="1">'Czas aktywacji akcji'!$A$1:$M$201</definedName>
    <definedName name="output_memory" localSheetId="2">'Zużycie pamięci'!$B$1:$CM$8</definedName>
    <definedName name="output_revert" localSheetId="3">'Czas przywracania ostatniego st'!$B$1:$CM$22</definedName>
    <definedName name="output_revert_longterm" localSheetId="5">'Czas przywracania najst stanu'!$B$2:$CM$24</definedName>
  </definedNames>
  <calcPr calcId="181029"/>
</workbook>
</file>

<file path=xl/calcChain.xml><?xml version="1.0" encoding="utf-8"?>
<calcChain xmlns="http://schemas.openxmlformats.org/spreadsheetml/2006/main">
  <c r="BH26" i="7" l="1"/>
  <c r="BH25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AJ27" i="7"/>
  <c r="AK27" i="7"/>
  <c r="AL27" i="7"/>
  <c r="AM27" i="7"/>
  <c r="AN27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AJ28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B28" i="7"/>
  <c r="B27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AJ26" i="7"/>
  <c r="AK26" i="7"/>
  <c r="AL26" i="7"/>
  <c r="AM26" i="7"/>
  <c r="AN26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I26" i="7"/>
  <c r="BJ26" i="7"/>
  <c r="BK26" i="7"/>
  <c r="BL26" i="7"/>
  <c r="BM26" i="7"/>
  <c r="BN26" i="7"/>
  <c r="BO26" i="7"/>
  <c r="BP26" i="7"/>
  <c r="BQ26" i="7"/>
  <c r="BR26" i="7"/>
  <c r="BS26" i="7"/>
  <c r="BT26" i="7"/>
  <c r="BU26" i="7"/>
  <c r="BV26" i="7"/>
  <c r="BW26" i="7"/>
  <c r="BX26" i="7"/>
  <c r="BY26" i="7"/>
  <c r="BZ26" i="7"/>
  <c r="CA26" i="7"/>
  <c r="CB26" i="7"/>
  <c r="CC26" i="7"/>
  <c r="CD26" i="7"/>
  <c r="CE26" i="7"/>
  <c r="CF26" i="7"/>
  <c r="CG26" i="7"/>
  <c r="CH26" i="7"/>
  <c r="CI26" i="7"/>
  <c r="CJ26" i="7"/>
  <c r="CK26" i="7"/>
  <c r="CL26" i="7"/>
  <c r="CM26" i="7"/>
  <c r="B26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AJ25" i="7"/>
  <c r="AK25" i="7"/>
  <c r="AL25" i="7"/>
  <c r="AM25" i="7"/>
  <c r="AN25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I25" i="7"/>
  <c r="BJ25" i="7"/>
  <c r="BK25" i="7"/>
  <c r="BL25" i="7"/>
  <c r="BM25" i="7"/>
  <c r="BN25" i="7"/>
  <c r="BO25" i="7"/>
  <c r="BP25" i="7"/>
  <c r="BQ25" i="7"/>
  <c r="BR25" i="7"/>
  <c r="BS25" i="7"/>
  <c r="BT25" i="7"/>
  <c r="BU25" i="7"/>
  <c r="BV25" i="7"/>
  <c r="BW25" i="7"/>
  <c r="BX25" i="7"/>
  <c r="BY25" i="7"/>
  <c r="BZ25" i="7"/>
  <c r="CA25" i="7"/>
  <c r="CB25" i="7"/>
  <c r="CC25" i="7"/>
  <c r="CD25" i="7"/>
  <c r="CE25" i="7"/>
  <c r="CF25" i="7"/>
  <c r="CG25" i="7"/>
  <c r="CH25" i="7"/>
  <c r="CI25" i="7"/>
  <c r="CJ25" i="7"/>
  <c r="CK25" i="7"/>
  <c r="CL25" i="7"/>
  <c r="CM25" i="7"/>
  <c r="B25" i="7"/>
  <c r="R4" i="6"/>
  <c r="R5" i="6"/>
  <c r="R6" i="6"/>
  <c r="R7" i="6"/>
  <c r="R8" i="6"/>
  <c r="R9" i="6"/>
  <c r="R3" i="6"/>
  <c r="Q9" i="6"/>
  <c r="P9" i="6"/>
  <c r="Q8" i="6"/>
  <c r="Q7" i="6"/>
  <c r="Q6" i="6"/>
  <c r="Q5" i="6"/>
  <c r="Q4" i="6"/>
  <c r="Q3" i="6"/>
  <c r="P8" i="6"/>
  <c r="P7" i="6"/>
  <c r="P6" i="6"/>
  <c r="P5" i="6"/>
  <c r="P4" i="6"/>
  <c r="P3" i="6"/>
  <c r="M29" i="6"/>
  <c r="L29" i="6"/>
  <c r="K29" i="6"/>
  <c r="J29" i="6"/>
  <c r="I29" i="6"/>
  <c r="H29" i="6"/>
  <c r="G29" i="6"/>
  <c r="F29" i="6"/>
  <c r="E29" i="6"/>
  <c r="D29" i="6"/>
  <c r="C29" i="6"/>
  <c r="B29" i="6"/>
  <c r="M28" i="6"/>
  <c r="L28" i="6"/>
  <c r="K28" i="6"/>
  <c r="J28" i="6"/>
  <c r="I28" i="6"/>
  <c r="H28" i="6"/>
  <c r="G28" i="6"/>
  <c r="F28" i="6"/>
  <c r="E28" i="6"/>
  <c r="D28" i="6"/>
  <c r="C28" i="6"/>
  <c r="B28" i="6"/>
  <c r="M27" i="6"/>
  <c r="L27" i="6"/>
  <c r="K27" i="6"/>
  <c r="J27" i="6"/>
  <c r="I27" i="6"/>
  <c r="H27" i="6"/>
  <c r="G27" i="6"/>
  <c r="F27" i="6"/>
  <c r="E27" i="6"/>
  <c r="D27" i="6"/>
  <c r="C27" i="6"/>
  <c r="B27" i="6"/>
  <c r="M26" i="6"/>
  <c r="L26" i="6"/>
  <c r="K26" i="6"/>
  <c r="J26" i="6"/>
  <c r="I26" i="6"/>
  <c r="H26" i="6"/>
  <c r="G26" i="6"/>
  <c r="F26" i="6"/>
  <c r="E26" i="6"/>
  <c r="D26" i="6"/>
  <c r="C26" i="6"/>
  <c r="B26" i="6"/>
  <c r="AW28" i="1"/>
  <c r="AW27" i="1"/>
  <c r="AW26" i="1"/>
  <c r="AW25" i="1"/>
  <c r="C26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28" i="4" s="1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30" i="4" s="1"/>
  <c r="AF26" i="4"/>
  <c r="AG26" i="4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Z26" i="4"/>
  <c r="BA26" i="4"/>
  <c r="BB26" i="4"/>
  <c r="BC26" i="4"/>
  <c r="BD26" i="4"/>
  <c r="BE26" i="4"/>
  <c r="BF26" i="4"/>
  <c r="BG26" i="4"/>
  <c r="BH26" i="4"/>
  <c r="BI26" i="4"/>
  <c r="BJ26" i="4"/>
  <c r="BK26" i="4"/>
  <c r="BL26" i="4"/>
  <c r="BM26" i="4"/>
  <c r="BN26" i="4"/>
  <c r="BO26" i="4"/>
  <c r="BP26" i="4"/>
  <c r="BQ26" i="4"/>
  <c r="BR26" i="4"/>
  <c r="BS26" i="4"/>
  <c r="BT26" i="4"/>
  <c r="BU26" i="4"/>
  <c r="BV26" i="4"/>
  <c r="BW26" i="4"/>
  <c r="BX26" i="4"/>
  <c r="BY26" i="4"/>
  <c r="BZ26" i="4"/>
  <c r="CA26" i="4"/>
  <c r="CB26" i="4"/>
  <c r="CC26" i="4"/>
  <c r="CD26" i="4"/>
  <c r="CE26" i="4"/>
  <c r="CF26" i="4"/>
  <c r="CG26" i="4"/>
  <c r="CH26" i="4"/>
  <c r="CI26" i="4"/>
  <c r="CJ26" i="4"/>
  <c r="CK26" i="4"/>
  <c r="CL26" i="4"/>
  <c r="CM26" i="4"/>
  <c r="B26" i="4"/>
  <c r="B25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Z24" i="4"/>
  <c r="BA24" i="4"/>
  <c r="BB24" i="4"/>
  <c r="BC24" i="4"/>
  <c r="BD24" i="4"/>
  <c r="BE24" i="4"/>
  <c r="BF24" i="4"/>
  <c r="BG24" i="4"/>
  <c r="BH24" i="4"/>
  <c r="BI24" i="4"/>
  <c r="BJ24" i="4"/>
  <c r="BK24" i="4"/>
  <c r="BL24" i="4"/>
  <c r="BM24" i="4"/>
  <c r="BN24" i="4"/>
  <c r="BO24" i="4"/>
  <c r="BP24" i="4"/>
  <c r="BQ24" i="4"/>
  <c r="BR24" i="4"/>
  <c r="BS24" i="4"/>
  <c r="BT24" i="4"/>
  <c r="BU24" i="4"/>
  <c r="BV24" i="4"/>
  <c r="BW24" i="4"/>
  <c r="BX24" i="4"/>
  <c r="BY24" i="4"/>
  <c r="BZ24" i="4"/>
  <c r="CA24" i="4"/>
  <c r="CB24" i="4"/>
  <c r="CC24" i="4"/>
  <c r="CD24" i="4"/>
  <c r="CE24" i="4"/>
  <c r="CF24" i="4"/>
  <c r="CG24" i="4"/>
  <c r="CH24" i="4"/>
  <c r="CI24" i="4"/>
  <c r="CJ24" i="4"/>
  <c r="CK24" i="4"/>
  <c r="CL24" i="4"/>
  <c r="CM24" i="4"/>
  <c r="B24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Z23" i="4"/>
  <c r="BA23" i="4"/>
  <c r="BB23" i="4"/>
  <c r="BC23" i="4"/>
  <c r="BD23" i="4"/>
  <c r="BE23" i="4"/>
  <c r="BF23" i="4"/>
  <c r="BG23" i="4"/>
  <c r="BH23" i="4"/>
  <c r="BI23" i="4"/>
  <c r="BJ23" i="4"/>
  <c r="BK23" i="4"/>
  <c r="BL23" i="4"/>
  <c r="BM23" i="4"/>
  <c r="BN23" i="4"/>
  <c r="BO23" i="4"/>
  <c r="BP23" i="4"/>
  <c r="BQ23" i="4"/>
  <c r="BR23" i="4"/>
  <c r="BS23" i="4"/>
  <c r="BT23" i="4"/>
  <c r="BU23" i="4"/>
  <c r="BV23" i="4"/>
  <c r="BW23" i="4"/>
  <c r="BX23" i="4"/>
  <c r="BY23" i="4"/>
  <c r="BZ23" i="4"/>
  <c r="CA23" i="4"/>
  <c r="CB23" i="4"/>
  <c r="CC23" i="4"/>
  <c r="CD23" i="4"/>
  <c r="CE23" i="4"/>
  <c r="CF23" i="4"/>
  <c r="CG23" i="4"/>
  <c r="CH23" i="4"/>
  <c r="CI23" i="4"/>
  <c r="CJ23" i="4"/>
  <c r="CK23" i="4"/>
  <c r="CL23" i="4"/>
  <c r="CM23" i="4"/>
  <c r="B23" i="4"/>
  <c r="A14" i="3"/>
  <c r="A12" i="3"/>
  <c r="C10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O10" i="3"/>
  <c r="AP10" i="3"/>
  <c r="AQ10" i="3"/>
  <c r="AR10" i="3"/>
  <c r="AS10" i="3"/>
  <c r="AT10" i="3"/>
  <c r="AU10" i="3"/>
  <c r="AV10" i="3"/>
  <c r="AW10" i="3"/>
  <c r="AX10" i="3"/>
  <c r="AY10" i="3"/>
  <c r="AZ10" i="3"/>
  <c r="BA10" i="3"/>
  <c r="BB10" i="3"/>
  <c r="BC10" i="3"/>
  <c r="BD10" i="3"/>
  <c r="BE10" i="3"/>
  <c r="BF10" i="3"/>
  <c r="BG10" i="3"/>
  <c r="BH10" i="3"/>
  <c r="BI10" i="3"/>
  <c r="BJ10" i="3"/>
  <c r="BK10" i="3"/>
  <c r="BL10" i="3"/>
  <c r="BM10" i="3"/>
  <c r="BN10" i="3"/>
  <c r="BO10" i="3"/>
  <c r="BP10" i="3"/>
  <c r="BQ10" i="3"/>
  <c r="BR10" i="3"/>
  <c r="BS10" i="3"/>
  <c r="BT10" i="3"/>
  <c r="BU10" i="3"/>
  <c r="BV10" i="3"/>
  <c r="BW10" i="3"/>
  <c r="BX10" i="3"/>
  <c r="BY10" i="3"/>
  <c r="BZ10" i="3"/>
  <c r="CA10" i="3"/>
  <c r="CB10" i="3"/>
  <c r="CC10" i="3"/>
  <c r="CD10" i="3"/>
  <c r="CE10" i="3"/>
  <c r="CF10" i="3"/>
  <c r="CG10" i="3"/>
  <c r="CH10" i="3"/>
  <c r="CI10" i="3"/>
  <c r="CJ10" i="3"/>
  <c r="CK10" i="3"/>
  <c r="CL10" i="3"/>
  <c r="CM10" i="3"/>
  <c r="B10" i="3"/>
  <c r="I5" i="2"/>
  <c r="J5" i="2"/>
  <c r="K5" i="2"/>
  <c r="L5" i="2"/>
  <c r="M5" i="2"/>
  <c r="H5" i="2"/>
  <c r="I4" i="2"/>
  <c r="J4" i="2"/>
  <c r="K4" i="2"/>
  <c r="L4" i="2"/>
  <c r="M4" i="2"/>
  <c r="H4" i="2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CN26" i="1"/>
  <c r="CM26" i="1"/>
  <c r="CL26" i="1"/>
  <c r="CK26" i="1"/>
  <c r="CJ26" i="1"/>
  <c r="CI26" i="1"/>
  <c r="CH26" i="1"/>
  <c r="CG26" i="1"/>
  <c r="CF26" i="1"/>
  <c r="CE26" i="1"/>
  <c r="CD26" i="1"/>
  <c r="CC26" i="1"/>
  <c r="CB26" i="1"/>
  <c r="CA26" i="1"/>
  <c r="BZ26" i="1"/>
  <c r="BY26" i="1"/>
  <c r="BX26" i="1"/>
  <c r="BW26" i="1"/>
  <c r="BV26" i="1"/>
  <c r="BU26" i="1"/>
  <c r="BT26" i="1"/>
  <c r="BS26" i="1"/>
  <c r="BR26" i="1"/>
  <c r="BQ26" i="1"/>
  <c r="BP26" i="1"/>
  <c r="BO26" i="1"/>
  <c r="BN26" i="1"/>
  <c r="BM26" i="1"/>
  <c r="BL26" i="1"/>
  <c r="BK26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CN25" i="1"/>
  <c r="CM25" i="1"/>
  <c r="CL25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32" i="7" l="1"/>
  <c r="A30" i="7"/>
  <c r="A30" i="1"/>
  <c r="A32" i="1"/>
  <c r="A28" i="1"/>
  <c r="A2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0452C6-963F-4354-AA96-FA3D10349553}" name="output-memory" type="6" refreshedVersion="8" background="1" saveData="1">
    <textPr codePage="852" sourceFile="G:\Szkola\Studia\ngss\utils\output-memory.csv" decimal="," thousands=" " comma="1">
      <textFields count="9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F029EA06-B9D0-4283-9945-A7E731BC1562}" name="output-revert" type="6" refreshedVersion="8" background="1" saveData="1">
    <textPr codePage="852" sourceFile="G:\Szkola\Studia\ngss\utils\output-revert.csv" decimal="," thousands=" " comma="1">
      <textFields count="8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7751B8C4-4739-4AE2-8DE4-54E4704024BC}" name="output-revert-longterm" type="6" refreshedVersion="8" background="1" saveData="1">
    <textPr codePage="852" sourceFile="G:\Szkola\Studia\ngss\utils\output-revert-longterm.csv" decimal="," thousands=" " comma="1">
      <textFields count="8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<sst xmlns="http://schemas.openxmlformats.org/spreadsheetml/2006/main" count="629" uniqueCount="50">
  <si>
    <t>ONLY_CHANGED_TOP_DOWN</t>
  </si>
  <si>
    <t>ALL_STATE</t>
  </si>
  <si>
    <t>ONLY_CHANGED</t>
  </si>
  <si>
    <t>ONLY_CHANGED_STRING_TOP_DOWN</t>
  </si>
  <si>
    <t>ONLY_CHANGED_STRING</t>
  </si>
  <si>
    <t>RAW</t>
  </si>
  <si>
    <t>COMPRESSED_WEB_ASSEMBLY</t>
  </si>
  <si>
    <t>COMPRESSED</t>
  </si>
  <si>
    <t>add-update-remove</t>
  </si>
  <si>
    <t>add-update</t>
  </si>
  <si>
    <t>update</t>
  </si>
  <si>
    <t>add</t>
  </si>
  <si>
    <t>add-remove</t>
  </si>
  <si>
    <t>remove</t>
  </si>
  <si>
    <t>Global Min</t>
  </si>
  <si>
    <t>średnia</t>
  </si>
  <si>
    <t>Mediana</t>
  </si>
  <si>
    <t>Global Max</t>
  </si>
  <si>
    <t>min</t>
  </si>
  <si>
    <t>max</t>
  </si>
  <si>
    <t>Min srednia</t>
  </si>
  <si>
    <t>Max srednia</t>
  </si>
  <si>
    <t>NGRX 100 akcji</t>
  </si>
  <si>
    <t>NGRX 300 akcji</t>
  </si>
  <si>
    <t>NGXS 100 akcji</t>
  </si>
  <si>
    <t>NGXS 300 akcji</t>
  </si>
  <si>
    <t>NGSS 100 akcji</t>
  </si>
  <si>
    <t>NGSS 300 akcji</t>
  </si>
  <si>
    <t>Rezultaty</t>
  </si>
  <si>
    <t>Suma</t>
  </si>
  <si>
    <t>Średnia</t>
  </si>
  <si>
    <t>Min</t>
  </si>
  <si>
    <t>Max</t>
  </si>
  <si>
    <t>GlobalMax</t>
  </si>
  <si>
    <t>Typ przywracania danych</t>
  </si>
  <si>
    <t>Typ zapisywania danych</t>
  </si>
  <si>
    <t>Rodzaj Akcji</t>
  </si>
  <si>
    <t>Średni czas przywracania ostatniej akcji [ms]</t>
  </si>
  <si>
    <t>Mediana czasu przywracania ostatniej akcji [ms]</t>
  </si>
  <si>
    <t>Średni czas przywracania najstarszej akcji [ms]</t>
  </si>
  <si>
    <t>Mediana czasu przywracania najstarszej akcji [ms]</t>
  </si>
  <si>
    <t>Wielkość historycznego stanu [kB]</t>
  </si>
  <si>
    <t>Średni czas obsługi akcji [ms]</t>
  </si>
  <si>
    <t>Mediana czasu obsługi akcji [ms]</t>
  </si>
  <si>
    <t xml:space="preserve">Kod porównywany na przykladzie zapisywania Stanu dla akcji </t>
  </si>
  <si>
    <t>TS</t>
  </si>
  <si>
    <t>WASM</t>
  </si>
  <si>
    <t>Średnia dla wszystkich akcji</t>
  </si>
  <si>
    <t>Współczynnik przyrostu czasu [%]</t>
  </si>
  <si>
    <t>Pakiet akcji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</si>
</sst>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00"/>
  </numFmts>
  <fonts count="6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  <font>
      <sz val="9"/>
      <color rgb="FF000000"/>
      <name val="&quot;Google Sans Mono&quot;"/>
    </font>
    <font>
      <sz val="10"/>
      <color rgb="FF000000"/>
      <name val="Arial"/>
      <family val="2"/>
      <charset val="238"/>
      <scheme val="minor"/>
    </font>
    <font>
      <b/>
      <sz val="11"/>
      <color rgb="FF3F3F3F"/>
      <name val="Arial"/>
      <family val="2"/>
      <charset val="238"/>
      <scheme val="minor"/>
    </font>
    <font>
      <b/>
      <sz val="11"/>
      <color theme="0"/>
      <name val="Arial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CC0000"/>
        <bgColor rgb="FFCC0000"/>
      </patternFill>
    </fill>
    <fill>
      <patternFill patternType="solid">
        <fgColor rgb="FFE5E5E5"/>
        <bgColor rgb="FFE5E5E5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double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3">
    <xf numFmtId="0" fontId="0" fillId="0" borderId="0"/>
    <xf numFmtId="0" fontId="4" fillId="6" borderId="1" applyNumberFormat="0" applyAlignment="0" applyProtection="0"/>
    <xf numFmtId="0" fontId="5" fillId="7" borderId="2" applyNumberFormat="0" applyAlignment="0" applyProtection="0"/>
  </cellStyleXfs>
  <cellXfs count="3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164" fontId="2" fillId="4" borderId="0" xfId="0" applyNumberFormat="1" applyFont="1" applyFill="1"/>
    <xf numFmtId="164" fontId="2" fillId="5" borderId="0" xfId="0" applyNumberFormat="1" applyFont="1" applyFill="1"/>
    <xf numFmtId="0" fontId="2" fillId="5" borderId="0" xfId="0" applyFont="1" applyFill="1"/>
    <xf numFmtId="0" fontId="5" fillId="7" borderId="2" xfId="2"/>
    <xf numFmtId="164" fontId="5" fillId="7" borderId="2" xfId="2" applyNumberFormat="1"/>
    <xf numFmtId="0" fontId="4" fillId="6" borderId="1" xfId="1"/>
    <xf numFmtId="164" fontId="4" fillId="6" borderId="1" xfId="1" applyNumberFormat="1"/>
    <xf numFmtId="165" fontId="4" fillId="6" borderId="1" xfId="1" applyNumberFormat="1"/>
    <xf numFmtId="165" fontId="5" fillId="7" borderId="2" xfId="2" applyNumberFormat="1"/>
    <xf numFmtId="0" fontId="3" fillId="0" borderId="0" xfId="0" applyFont="1"/>
    <xf numFmtId="0" fontId="3" fillId="8" borderId="0" xfId="0" applyFont="1" applyFill="1"/>
    <xf numFmtId="0" fontId="3" fillId="9" borderId="0" xfId="0" applyFont="1" applyFill="1"/>
    <xf numFmtId="0" fontId="4" fillId="6" borderId="9" xfId="1" applyBorder="1"/>
    <xf numFmtId="164" fontId="0" fillId="0" borderId="0" xfId="0" applyNumberFormat="1"/>
    <xf numFmtId="0" fontId="5" fillId="7" borderId="2" xfId="2"/>
    <xf numFmtId="0" fontId="4" fillId="6" borderId="1" xfId="1"/>
    <xf numFmtId="0" fontId="5" fillId="7" borderId="2" xfId="2" applyAlignment="1">
      <alignment horizontal="left"/>
    </xf>
    <xf numFmtId="0" fontId="5" fillId="7" borderId="3" xfId="2" applyBorder="1"/>
    <xf numFmtId="0" fontId="5" fillId="7" borderId="4" xfId="2" applyBorder="1"/>
    <xf numFmtId="0" fontId="5" fillId="7" borderId="5" xfId="2" applyBorder="1"/>
    <xf numFmtId="0" fontId="4" fillId="6" borderId="6" xfId="1" applyBorder="1"/>
    <xf numFmtId="0" fontId="4" fillId="6" borderId="7" xfId="1" applyBorder="1"/>
    <xf numFmtId="0" fontId="4" fillId="6" borderId="8" xfId="1" applyBorder="1"/>
    <xf numFmtId="0" fontId="5" fillId="7" borderId="13" xfId="2" applyBorder="1"/>
    <xf numFmtId="0" fontId="5" fillId="7" borderId="0" xfId="2" applyBorder="1"/>
    <xf numFmtId="0" fontId="4" fillId="6" borderId="10" xfId="1" applyBorder="1"/>
    <xf numFmtId="0" fontId="4" fillId="6" borderId="11" xfId="1" applyBorder="1"/>
    <xf numFmtId="0" fontId="4" fillId="6" borderId="12" xfId="1" applyBorder="1"/>
    <xf numFmtId="0" fontId="5" fillId="7" borderId="2" xfId="2" applyAlignment="1">
      <alignment horizontal="center"/>
    </xf>
    <xf numFmtId="0" fontId="4" fillId="6" borderId="1" xfId="1" applyAlignment="1">
      <alignment horizontal="center"/>
    </xf>
  </cellXfs>
  <cellStyles count="3">
    <cellStyle name="Dane wyjściowe" xfId="1" builtinId="21"/>
    <cellStyle name="Komórka zaznaczona" xfId="2" builtinId="23"/>
    <cellStyle name="Normalny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&quot;Google Sans Mono&quot;"/>
        <scheme val="none"/>
      </font>
      <fill>
        <patternFill patternType="solid">
          <fgColor rgb="FFFFFFFF"/>
          <bgColor rgb="FFFFFF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charset val="238"/>
        <scheme val="minor"/>
      </font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152400</xdr:colOff>
      <xdr:row>1</xdr:row>
      <xdr:rowOff>9525</xdr:rowOff>
    </xdr:from>
    <xdr:to>
      <xdr:col>14</xdr:col>
      <xdr:colOff>571675</xdr:colOff>
      <xdr:row>4</xdr:row>
      <xdr:rowOff>19119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FCF11AE-F53D-5B9F-684F-3D3D6FCF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00" y="171450"/>
          <a:ext cx="1257475" cy="495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28575</xdr:rowOff>
    </xdr:from>
    <xdr:to>
      <xdr:col>1</xdr:col>
      <xdr:colOff>485950</xdr:colOff>
      <xdr:row>2</xdr:row>
      <xdr:rowOff>114369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3EFCB03C-F248-2469-D512-C50B338DA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8575"/>
          <a:ext cx="1257475" cy="495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14</xdr:row>
      <xdr:rowOff>38100</xdr:rowOff>
    </xdr:from>
    <xdr:to>
      <xdr:col>1</xdr:col>
      <xdr:colOff>666932</xdr:colOff>
      <xdr:row>16</xdr:row>
      <xdr:rowOff>114356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43050277-2ED0-09D8-46B3-412AA955E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695575"/>
          <a:ext cx="1305107" cy="4001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30</xdr:row>
      <xdr:rowOff>142875</xdr:rowOff>
    </xdr:from>
    <xdr:to>
      <xdr:col>1</xdr:col>
      <xdr:colOff>676450</xdr:colOff>
      <xdr:row>33</xdr:row>
      <xdr:rowOff>152469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D8C2C729-F15F-489C-B503-491F35DE1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6057900"/>
          <a:ext cx="1257475" cy="49536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-memory" connectionId="1" xr16:uid="{3A477938-E083-4E4E-843B-929046A6DFD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-revert" connectionId="2" xr16:uid="{0BD1C536-E536-4570-8CCB-8CA6EFB966F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utput-revert-longterm" connectionId="3" xr16:uid="{A5F31A49-2048-4C15-8B0A-56DA04C3B07A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33F2AD-73EF-4462-BBB5-13A711DF0B43}" name="Tabela1" displayName="Tabela1" ref="A1:F101" totalsRowShown="0" headerRowDxfId="6" dataDxfId="5">
  <autoFilter ref="A1:F101" xr:uid="{0F33F2AD-73EF-4462-BBB5-13A711DF0B43}"/>
  <tableColumns count="6">
    <tableColumn id="1" xr3:uid="{AC2919CD-60DA-47FE-BF0F-12303C3931FF}" name="NGRX 100 akcji"/>
    <tableColumn id="2" xr3:uid="{252503BB-C74A-49B4-BE0A-2B76852CFE78}" name="NGRX 300 akcji" dataDxfId="4"/>
    <tableColumn id="3" xr3:uid="{9C2FE9E0-CF94-464E-810F-CC36507ED1F5}" name="NGXS 100 akcji" dataDxfId="3"/>
    <tableColumn id="4" xr3:uid="{FD8B60CA-474B-4DE0-9A62-A60FA71BDE99}" name="NGXS 300 akcji" dataDxfId="2"/>
    <tableColumn id="5" xr3:uid="{C9373861-4F70-4F37-BCD0-F67CE2FF6D8B}" name="NGSS 100 akcji" dataDxfId="1"/>
    <tableColumn id="6" xr3:uid="{D072D9DB-5E8E-45AD-A4F8-98D6C5E59EF2}" name="NGSS 300 akcji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201"/>
  <sheetViews>
    <sheetView workbookViewId="0">
      <selection activeCell="K15" sqref="K15"/>
    </sheetView>
  </sheetViews>
  <sheetFormatPr defaultColWidth="12.5703125" defaultRowHeight="15.75" customHeight="1"/>
  <cols>
    <col min="1" max="1" width="16.140625" customWidth="1"/>
    <col min="2" max="2" width="17.7109375" customWidth="1"/>
    <col min="3" max="3" width="16.42578125" customWidth="1"/>
    <col min="4" max="4" width="16.140625" customWidth="1"/>
    <col min="5" max="5" width="16.42578125" customWidth="1"/>
    <col min="6" max="6" width="22.7109375" customWidth="1"/>
    <col min="13" max="13" width="15.5703125" customWidth="1"/>
  </cols>
  <sheetData>
    <row r="1" spans="1:13" ht="12.75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</row>
    <row r="2" spans="1:13" ht="12.75">
      <c r="A2">
        <v>0.197998046875</v>
      </c>
      <c r="B2" s="1">
        <v>0.27490234375</v>
      </c>
      <c r="C2" s="8">
        <v>0.218017578125</v>
      </c>
      <c r="D2" s="1">
        <v>0.27197265625</v>
      </c>
      <c r="E2" s="1">
        <v>0.18212890625</v>
      </c>
      <c r="F2" s="1">
        <v>0.2080078125</v>
      </c>
      <c r="G2" s="1" t="s">
        <v>28</v>
      </c>
    </row>
    <row r="3" spans="1:13" ht="12.75">
      <c r="A3">
        <v>7.8857421875E-2</v>
      </c>
      <c r="B3" s="1">
        <v>0.195068359375</v>
      </c>
      <c r="C3" s="8">
        <v>0.121826171875</v>
      </c>
      <c r="D3" s="1">
        <v>0.119873046875</v>
      </c>
      <c r="E3" s="1">
        <v>2.587890625E-2</v>
      </c>
      <c r="F3" s="1">
        <v>3.0029296875E-2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27</v>
      </c>
    </row>
    <row r="4" spans="1:13" ht="12.75">
      <c r="A4">
        <v>0.116943359375</v>
      </c>
      <c r="B4" s="1">
        <v>0.18115234375</v>
      </c>
      <c r="C4" s="8">
        <v>0.173095703125</v>
      </c>
      <c r="D4" s="1">
        <v>0.130859375</v>
      </c>
      <c r="E4" s="1">
        <v>2.5146484375E-2</v>
      </c>
      <c r="F4" s="1">
        <v>2.4169921875E-2</v>
      </c>
      <c r="G4" s="1" t="s">
        <v>29</v>
      </c>
      <c r="H4" s="1">
        <f>SUMIF(A2:A101,"&lt;&gt;0")</f>
        <v>6.053466796875</v>
      </c>
      <c r="I4" s="1">
        <f t="shared" ref="I4:M4" si="0">SUMIF(B2:B101,"&lt;&gt;0")</f>
        <v>10.02880859375</v>
      </c>
      <c r="J4" s="1">
        <f t="shared" si="0"/>
        <v>7.976318359375</v>
      </c>
      <c r="K4" s="1">
        <f t="shared" si="0"/>
        <v>7.642822265625</v>
      </c>
      <c r="L4" s="1">
        <f t="shared" si="0"/>
        <v>1.9306640625</v>
      </c>
      <c r="M4" s="1">
        <f t="shared" si="0"/>
        <v>1.956787109375</v>
      </c>
    </row>
    <row r="5" spans="1:13" ht="12.75">
      <c r="A5">
        <v>8.59375E-2</v>
      </c>
      <c r="B5" s="1">
        <v>0.119140625</v>
      </c>
      <c r="C5" s="8">
        <v>0.116943359375</v>
      </c>
      <c r="D5" s="1">
        <v>0.113037109375</v>
      </c>
      <c r="E5" s="1">
        <v>2.587890625E-2</v>
      </c>
      <c r="F5" s="1">
        <v>2.7099609375E-2</v>
      </c>
      <c r="G5" s="1" t="s">
        <v>15</v>
      </c>
      <c r="H5" s="1">
        <f>AVERAGE(Tabela1[NGRX 100 akcji])</f>
        <v>6.0534667968749997E-2</v>
      </c>
      <c r="I5" s="1">
        <f>AVERAGE(Tabela1[NGRX 300 akcji])</f>
        <v>0.10028808593749999</v>
      </c>
      <c r="J5" s="1">
        <f>AVERAGE(Tabela1[NGXS 100 akcji])</f>
        <v>7.9763183593749995E-2</v>
      </c>
      <c r="K5" s="1">
        <f>AVERAGE(Tabela1[NGXS 300 akcji])</f>
        <v>7.6428222656250003E-2</v>
      </c>
      <c r="L5" s="1">
        <f>AVERAGE(Tabela1[NGSS 100 akcji])</f>
        <v>1.9306640625E-2</v>
      </c>
      <c r="M5" s="1">
        <f>AVERAGE(Tabela1[NGSS 300 akcji])</f>
        <v>1.9567871093750001E-2</v>
      </c>
    </row>
    <row r="6" spans="1:13" ht="12.75">
      <c r="A6">
        <v>0.117919921875</v>
      </c>
      <c r="B6" s="1">
        <v>0.121826171875</v>
      </c>
      <c r="C6" s="8">
        <v>0.100830078125</v>
      </c>
      <c r="D6" s="1">
        <v>0.130859375</v>
      </c>
      <c r="E6" s="1">
        <v>2.6123046875E-2</v>
      </c>
      <c r="F6" s="1">
        <v>2.6123046875E-2</v>
      </c>
    </row>
    <row r="7" spans="1:13" ht="12.75">
      <c r="A7">
        <v>7.8125E-2</v>
      </c>
      <c r="B7" s="1">
        <v>0.1220703125</v>
      </c>
      <c r="C7" s="8">
        <v>0.1279296875</v>
      </c>
      <c r="D7" s="1">
        <v>0.132080078125</v>
      </c>
      <c r="E7" s="1">
        <v>2.490234375E-2</v>
      </c>
      <c r="F7" s="1">
        <v>2.6123046875E-2</v>
      </c>
    </row>
    <row r="8" spans="1:13" ht="12.75">
      <c r="A8">
        <v>8.30078125E-2</v>
      </c>
      <c r="B8" s="1">
        <v>0.130859375</v>
      </c>
      <c r="C8" s="8">
        <v>0.137939453125</v>
      </c>
      <c r="D8" s="1">
        <v>0.125</v>
      </c>
      <c r="E8" s="1">
        <v>2.5146484375E-2</v>
      </c>
      <c r="F8" s="1">
        <v>2.6123046875E-2</v>
      </c>
    </row>
    <row r="9" spans="1:13" ht="12.75">
      <c r="A9">
        <v>0.131103515625</v>
      </c>
      <c r="B9" s="1">
        <v>0.139892578125</v>
      </c>
      <c r="C9" s="8">
        <v>0.10498046875</v>
      </c>
      <c r="D9" s="1">
        <v>0.10400390625</v>
      </c>
      <c r="E9" s="1">
        <v>4.78515625E-2</v>
      </c>
      <c r="F9" s="1">
        <v>3.076171875E-2</v>
      </c>
    </row>
    <row r="10" spans="1:13" ht="12.75">
      <c r="A10">
        <v>8.203125E-2</v>
      </c>
      <c r="B10" s="1">
        <v>0.14306640625</v>
      </c>
      <c r="C10" s="8">
        <v>0.179931640625</v>
      </c>
      <c r="D10" s="1">
        <v>0.130859375</v>
      </c>
      <c r="E10" s="1">
        <v>3.90625E-2</v>
      </c>
      <c r="F10" s="1">
        <v>3.3935546875E-2</v>
      </c>
    </row>
    <row r="11" spans="1:13" ht="12.75">
      <c r="A11">
        <v>6.9091796875E-2</v>
      </c>
      <c r="B11" s="1">
        <v>0.130126953125</v>
      </c>
      <c r="C11" s="8">
        <v>9.619140625E-2</v>
      </c>
      <c r="D11" s="1">
        <v>9.0087890625E-2</v>
      </c>
      <c r="E11" s="1">
        <v>4.4189453125E-2</v>
      </c>
      <c r="F11" s="1">
        <v>3.4912109375E-2</v>
      </c>
    </row>
    <row r="12" spans="1:13" ht="12.75">
      <c r="A12">
        <v>6.005859375E-2</v>
      </c>
      <c r="B12" s="1">
        <v>0.10302734375</v>
      </c>
      <c r="C12" s="8">
        <v>8.30078125E-2</v>
      </c>
      <c r="D12" s="1">
        <v>7.8125E-2</v>
      </c>
      <c r="E12" s="1">
        <v>1.806640625E-2</v>
      </c>
      <c r="F12" s="1">
        <v>1.904296875E-2</v>
      </c>
    </row>
    <row r="13" spans="1:13" ht="12.75">
      <c r="A13">
        <v>5.2978515625E-2</v>
      </c>
      <c r="B13" s="1">
        <v>0.10107421875</v>
      </c>
      <c r="C13" s="8">
        <v>7.6904296875E-2</v>
      </c>
      <c r="D13" s="1">
        <v>7.6171875E-2</v>
      </c>
      <c r="E13" s="1">
        <v>1.3916015625E-2</v>
      </c>
      <c r="F13" s="1">
        <v>1.4892578125E-2</v>
      </c>
    </row>
    <row r="14" spans="1:13" ht="12.75">
      <c r="A14">
        <v>5.419921875E-2</v>
      </c>
      <c r="B14" s="1">
        <v>9.9853515625E-2</v>
      </c>
      <c r="C14" s="8">
        <v>7.2998046875E-2</v>
      </c>
      <c r="D14" s="1">
        <v>7.8857421875E-2</v>
      </c>
      <c r="E14" s="1">
        <v>1.5869140625E-2</v>
      </c>
      <c r="F14" s="1">
        <v>1.416015625E-2</v>
      </c>
    </row>
    <row r="15" spans="1:13" ht="12.75">
      <c r="A15">
        <v>5.4931640625E-2</v>
      </c>
      <c r="B15" s="1">
        <v>0.136962890625</v>
      </c>
      <c r="C15" s="8">
        <v>8.59375E-2</v>
      </c>
      <c r="D15" s="1">
        <v>7.0068359375E-2</v>
      </c>
      <c r="E15" s="1">
        <v>1.708984375E-2</v>
      </c>
      <c r="F15" s="1">
        <v>1.3916015625E-2</v>
      </c>
    </row>
    <row r="16" spans="1:13" ht="12.75">
      <c r="A16">
        <v>5.419921875E-2</v>
      </c>
      <c r="B16" s="1">
        <v>9.716796875E-2</v>
      </c>
      <c r="C16" s="8">
        <v>8.203125E-2</v>
      </c>
      <c r="D16" s="1">
        <v>7.71484375E-2</v>
      </c>
      <c r="E16" s="1">
        <v>1.4892578125E-2</v>
      </c>
      <c r="F16" s="1">
        <v>1.513671875E-2</v>
      </c>
    </row>
    <row r="17" spans="1:6" ht="12.75">
      <c r="A17">
        <v>5.1025390625E-2</v>
      </c>
      <c r="B17" s="1">
        <v>9.3994140625E-2</v>
      </c>
      <c r="C17" s="8">
        <v>7.5927734375E-2</v>
      </c>
      <c r="D17" s="1">
        <v>7.2998046875E-2</v>
      </c>
      <c r="E17" s="1">
        <v>1.416015625E-2</v>
      </c>
      <c r="F17" s="1">
        <v>1.513671875E-2</v>
      </c>
    </row>
    <row r="18" spans="1:6" ht="12.75">
      <c r="A18">
        <v>5.7861328125E-2</v>
      </c>
      <c r="B18" s="1">
        <v>9.3017578125E-2</v>
      </c>
      <c r="C18" s="8">
        <v>6.982421875E-2</v>
      </c>
      <c r="D18" s="1">
        <v>6.787109375E-2</v>
      </c>
      <c r="E18" s="1">
        <v>1.3916015625E-2</v>
      </c>
      <c r="F18" s="1">
        <v>1.611328125E-2</v>
      </c>
    </row>
    <row r="19" spans="1:6" ht="12.75">
      <c r="A19">
        <v>5.4931640625E-2</v>
      </c>
      <c r="B19" s="1">
        <v>0.1162109375</v>
      </c>
      <c r="C19" s="8">
        <v>6.9091796875E-2</v>
      </c>
      <c r="D19" s="1">
        <v>7.4951171875E-2</v>
      </c>
      <c r="E19" s="1">
        <v>1.4892578125E-2</v>
      </c>
      <c r="F19" s="1">
        <v>1.611328125E-2</v>
      </c>
    </row>
    <row r="20" spans="1:6" ht="12.75">
      <c r="A20">
        <v>5.2978515625E-2</v>
      </c>
      <c r="B20" s="1">
        <v>0.10498046875</v>
      </c>
      <c r="C20" s="8">
        <v>6.982421875E-2</v>
      </c>
      <c r="D20" s="1">
        <v>0.10302734375</v>
      </c>
      <c r="E20" s="1">
        <v>1.4892578125E-2</v>
      </c>
      <c r="F20" s="1">
        <v>2.5146484375E-2</v>
      </c>
    </row>
    <row r="21" spans="1:6" ht="12.75">
      <c r="A21">
        <v>5.2001953125E-2</v>
      </c>
      <c r="B21" s="1">
        <v>9.6923828125E-2</v>
      </c>
      <c r="C21" s="8">
        <v>9.2041015625E-2</v>
      </c>
      <c r="D21" s="1">
        <v>7.2021484375E-2</v>
      </c>
      <c r="E21" s="1">
        <v>1.3916015625E-2</v>
      </c>
      <c r="F21" s="1">
        <v>1.4892578125E-2</v>
      </c>
    </row>
    <row r="22" spans="1:6" ht="12.75">
      <c r="A22">
        <v>5.3955078125E-2</v>
      </c>
      <c r="B22" s="1">
        <v>9.716796875E-2</v>
      </c>
      <c r="C22" s="8">
        <v>7.2998046875E-2</v>
      </c>
      <c r="D22" s="1">
        <v>6.982421875E-2</v>
      </c>
      <c r="E22" s="1">
        <v>1.513671875E-2</v>
      </c>
      <c r="F22" s="1">
        <v>1.513671875E-2</v>
      </c>
    </row>
    <row r="23" spans="1:6" ht="12.75">
      <c r="A23">
        <v>4.8095703125E-2</v>
      </c>
      <c r="B23" s="1">
        <v>0.181884765625</v>
      </c>
      <c r="C23" s="8">
        <v>9.9853515625E-2</v>
      </c>
      <c r="D23" s="1">
        <v>9.7900390625E-2</v>
      </c>
      <c r="E23" s="1">
        <v>1.3916015625E-2</v>
      </c>
      <c r="F23" s="1">
        <v>1.5869140625E-2</v>
      </c>
    </row>
    <row r="24" spans="1:6" ht="12.75">
      <c r="A24">
        <v>7.2998046875E-2</v>
      </c>
      <c r="B24" s="1">
        <v>9.2041015625E-2</v>
      </c>
      <c r="C24" s="8">
        <v>6.494140625E-2</v>
      </c>
      <c r="D24" s="1">
        <v>6.787109375E-2</v>
      </c>
      <c r="E24" s="1">
        <v>1.3916015625E-2</v>
      </c>
      <c r="F24" s="1">
        <v>1.4892578125E-2</v>
      </c>
    </row>
    <row r="25" spans="1:6" ht="12.75">
      <c r="A25">
        <v>5.0048828125E-2</v>
      </c>
      <c r="B25" s="1">
        <v>9.912109375E-2</v>
      </c>
      <c r="C25" s="8">
        <v>6.8115234375E-2</v>
      </c>
      <c r="D25" s="1">
        <v>6.8115234375E-2</v>
      </c>
      <c r="E25" s="1">
        <v>1.708984375E-2</v>
      </c>
      <c r="F25" s="1">
        <v>2.099609375E-2</v>
      </c>
    </row>
    <row r="26" spans="1:6" ht="12.75">
      <c r="A26">
        <v>5.1025390625E-2</v>
      </c>
      <c r="B26" s="1">
        <v>9.4970703125E-2</v>
      </c>
      <c r="C26" s="8">
        <v>6.396484375E-2</v>
      </c>
      <c r="D26" s="1">
        <v>6.7138671875E-2</v>
      </c>
      <c r="E26" s="1">
        <v>1.3916015625E-2</v>
      </c>
      <c r="F26" s="1">
        <v>1.611328125E-2</v>
      </c>
    </row>
    <row r="27" spans="1:6" ht="12.75">
      <c r="A27">
        <v>5.0048828125E-2</v>
      </c>
      <c r="B27" s="1">
        <v>8.7158203125E-2</v>
      </c>
      <c r="C27" s="8">
        <v>6.494140625E-2</v>
      </c>
      <c r="D27" s="1">
        <v>6.7138671875E-2</v>
      </c>
      <c r="E27" s="1">
        <v>1.4892578125E-2</v>
      </c>
      <c r="F27" s="1">
        <v>1.513671875E-2</v>
      </c>
    </row>
    <row r="28" spans="1:6" ht="12.75">
      <c r="A28">
        <v>5.2978515625E-2</v>
      </c>
      <c r="B28" s="1">
        <v>9.08203125E-2</v>
      </c>
      <c r="C28" s="8">
        <v>0.1171875</v>
      </c>
      <c r="D28" s="1">
        <v>0.10498046875</v>
      </c>
      <c r="E28" s="1">
        <v>2.001953125E-2</v>
      </c>
      <c r="F28" s="1">
        <v>1.513671875E-2</v>
      </c>
    </row>
    <row r="29" spans="1:6" ht="12.75">
      <c r="A29">
        <v>9.5947265625E-2</v>
      </c>
      <c r="B29" s="1">
        <v>9.1064453125E-2</v>
      </c>
      <c r="C29" s="8">
        <v>0.14111328125</v>
      </c>
      <c r="D29" s="1">
        <v>0.13818359375</v>
      </c>
      <c r="E29" s="1">
        <v>1.4892578125E-2</v>
      </c>
      <c r="F29" s="1">
        <v>1.611328125E-2</v>
      </c>
    </row>
    <row r="30" spans="1:6" ht="12.75">
      <c r="A30">
        <v>6.005859375E-2</v>
      </c>
      <c r="B30" s="1">
        <v>0.120849609375</v>
      </c>
      <c r="C30" s="8">
        <v>6.787109375E-2</v>
      </c>
      <c r="D30" s="1">
        <v>7.080078125E-2</v>
      </c>
      <c r="E30" s="1">
        <v>1.416015625E-2</v>
      </c>
      <c r="F30" s="1">
        <v>1.708984375E-2</v>
      </c>
    </row>
    <row r="31" spans="1:6" ht="12.75">
      <c r="A31">
        <v>5.2001953125E-2</v>
      </c>
      <c r="B31" s="1">
        <v>9.3017578125E-2</v>
      </c>
      <c r="C31" s="8">
        <v>6.787109375E-2</v>
      </c>
      <c r="D31" s="1">
        <v>7.0068359375E-2</v>
      </c>
      <c r="E31" s="1">
        <v>2.099609375E-2</v>
      </c>
      <c r="F31" s="1">
        <v>1.5869140625E-2</v>
      </c>
    </row>
    <row r="32" spans="1:6" ht="12.75">
      <c r="A32">
        <v>7.1044921875E-2</v>
      </c>
      <c r="B32" s="1">
        <v>9.1064453125E-2</v>
      </c>
      <c r="C32" s="8">
        <v>7.2021484375E-2</v>
      </c>
      <c r="D32" s="1">
        <v>7.2021484375E-2</v>
      </c>
      <c r="E32" s="1">
        <v>1.611328125E-2</v>
      </c>
      <c r="F32" s="1">
        <v>1.611328125E-2</v>
      </c>
    </row>
    <row r="33" spans="1:6" ht="12.75">
      <c r="A33">
        <v>5.0048828125E-2</v>
      </c>
      <c r="B33" s="1">
        <v>9.4970703125E-2</v>
      </c>
      <c r="C33" s="8">
        <v>6.9091796875E-2</v>
      </c>
      <c r="D33" s="1">
        <v>6.787109375E-2</v>
      </c>
      <c r="E33" s="1">
        <v>1.4892578125E-2</v>
      </c>
      <c r="F33" s="1">
        <v>1.4892578125E-2</v>
      </c>
    </row>
    <row r="34" spans="1:6" ht="12.75">
      <c r="A34">
        <v>5.2001953125E-2</v>
      </c>
      <c r="B34" s="1">
        <v>9.3994140625E-2</v>
      </c>
      <c r="C34" s="8">
        <v>8.203125E-2</v>
      </c>
      <c r="D34" s="1">
        <v>6.787109375E-2</v>
      </c>
      <c r="E34" s="1">
        <v>1.611328125E-2</v>
      </c>
      <c r="F34" s="1">
        <v>1.6845703125E-2</v>
      </c>
    </row>
    <row r="35" spans="1:6" ht="12.75">
      <c r="A35">
        <v>5.1025390625E-2</v>
      </c>
      <c r="B35" s="1">
        <v>8.88671875E-2</v>
      </c>
      <c r="C35" s="8">
        <v>6.884765625E-2</v>
      </c>
      <c r="D35" s="1">
        <v>6.689453125E-2</v>
      </c>
      <c r="E35" s="1">
        <v>1.611328125E-2</v>
      </c>
      <c r="F35" s="1">
        <v>1.708984375E-2</v>
      </c>
    </row>
    <row r="36" spans="1:6" ht="12.75">
      <c r="A36">
        <v>5.3955078125E-2</v>
      </c>
      <c r="B36" s="1">
        <v>9.1064453125E-2</v>
      </c>
      <c r="C36" s="8">
        <v>8.69140625E-2</v>
      </c>
      <c r="D36" s="1">
        <v>7.6904296875E-2</v>
      </c>
      <c r="E36" s="1">
        <v>1.513671875E-2</v>
      </c>
      <c r="F36" s="1">
        <v>1.6845703125E-2</v>
      </c>
    </row>
    <row r="37" spans="1:6" ht="12.75">
      <c r="A37">
        <v>5.3955078125E-2</v>
      </c>
      <c r="B37" s="1">
        <v>9.1064453125E-2</v>
      </c>
      <c r="C37" s="8">
        <v>7.1044921875E-2</v>
      </c>
      <c r="D37" s="1">
        <v>6.8115234375E-2</v>
      </c>
      <c r="E37" s="1">
        <v>1.611328125E-2</v>
      </c>
      <c r="F37" s="1">
        <v>1.611328125E-2</v>
      </c>
    </row>
    <row r="38" spans="1:6" ht="12.75">
      <c r="A38">
        <v>5.2978515625E-2</v>
      </c>
      <c r="B38" s="1">
        <v>9.4970703125E-2</v>
      </c>
      <c r="C38" s="8">
        <v>6.9091796875E-2</v>
      </c>
      <c r="D38" s="1">
        <v>6.591796875E-2</v>
      </c>
      <c r="E38" s="1">
        <v>1.611328125E-2</v>
      </c>
      <c r="F38" s="1">
        <v>1.708984375E-2</v>
      </c>
    </row>
    <row r="39" spans="1:6" ht="12.75">
      <c r="A39">
        <v>5.5908203125E-2</v>
      </c>
      <c r="B39" s="1">
        <v>9.1064453125E-2</v>
      </c>
      <c r="C39" s="8">
        <v>6.6162109375E-2</v>
      </c>
      <c r="D39" s="1">
        <v>7.0068359375E-2</v>
      </c>
      <c r="E39" s="1">
        <v>1.4892578125E-2</v>
      </c>
      <c r="F39" s="1">
        <v>1.4892578125E-2</v>
      </c>
    </row>
    <row r="40" spans="1:6" ht="12.75">
      <c r="A40">
        <v>5.0048828125E-2</v>
      </c>
      <c r="B40" s="1">
        <v>9.1064453125E-2</v>
      </c>
      <c r="C40" s="8">
        <v>0.10888671875</v>
      </c>
      <c r="D40" s="1">
        <v>0.14697265625</v>
      </c>
      <c r="E40" s="1">
        <v>1.806640625E-2</v>
      </c>
      <c r="F40" s="1">
        <v>1.806640625E-2</v>
      </c>
    </row>
    <row r="41" spans="1:6" ht="12.75">
      <c r="A41">
        <v>5.4931640625E-2</v>
      </c>
      <c r="B41" s="1">
        <v>9.814453125E-2</v>
      </c>
      <c r="C41" s="8">
        <v>6.787109375E-2</v>
      </c>
      <c r="D41" s="1">
        <v>0.121826171875</v>
      </c>
      <c r="E41" s="1">
        <v>1.5869140625E-2</v>
      </c>
      <c r="F41" s="1">
        <v>2.099609375E-2</v>
      </c>
    </row>
    <row r="42" spans="1:6" ht="12.75">
      <c r="A42">
        <v>5.2001953125E-2</v>
      </c>
      <c r="B42" s="1">
        <v>9.5947265625E-2</v>
      </c>
      <c r="C42" s="8">
        <v>7.2998046875E-2</v>
      </c>
      <c r="D42" s="1">
        <v>6.396484375E-2</v>
      </c>
      <c r="E42" s="1">
        <v>1.513671875E-2</v>
      </c>
      <c r="F42" s="1">
        <v>1.513671875E-2</v>
      </c>
    </row>
    <row r="43" spans="1:6" ht="12.75">
      <c r="A43">
        <v>5.419921875E-2</v>
      </c>
      <c r="B43" s="1">
        <v>0.133056640625</v>
      </c>
      <c r="C43" s="8">
        <v>8.10546875E-2</v>
      </c>
      <c r="D43" s="1">
        <v>7.2998046875E-2</v>
      </c>
      <c r="E43" s="1">
        <v>1.5869140625E-2</v>
      </c>
      <c r="F43" s="1">
        <v>1.4892578125E-2</v>
      </c>
    </row>
    <row r="44" spans="1:6" ht="12.75">
      <c r="A44">
        <v>5.2978515625E-2</v>
      </c>
      <c r="B44" s="1">
        <v>8.69140625E-2</v>
      </c>
      <c r="C44" s="8">
        <v>6.689453125E-2</v>
      </c>
      <c r="D44" s="1">
        <v>6.591796875E-2</v>
      </c>
      <c r="E44" s="1">
        <v>1.611328125E-2</v>
      </c>
      <c r="F44" s="1">
        <v>1.5869140625E-2</v>
      </c>
    </row>
    <row r="45" spans="1:6" ht="12.75">
      <c r="A45">
        <v>6.201171875E-2</v>
      </c>
      <c r="B45" s="1">
        <v>8.7890625E-2</v>
      </c>
      <c r="C45" s="8">
        <v>9.814453125E-2</v>
      </c>
      <c r="D45" s="1">
        <v>6.396484375E-2</v>
      </c>
      <c r="E45" s="1">
        <v>1.6845703125E-2</v>
      </c>
      <c r="F45" s="1">
        <v>1.5869140625E-2</v>
      </c>
    </row>
    <row r="46" spans="1:6" ht="12.75">
      <c r="A46">
        <v>5.0048828125E-2</v>
      </c>
      <c r="B46" s="1">
        <v>8.8134765625E-2</v>
      </c>
      <c r="C46" s="8">
        <v>6.494140625E-2</v>
      </c>
      <c r="D46" s="1">
        <v>6.494140625E-2</v>
      </c>
      <c r="E46" s="1">
        <v>1.6845703125E-2</v>
      </c>
      <c r="F46" s="1">
        <v>1.611328125E-2</v>
      </c>
    </row>
    <row r="47" spans="1:6" ht="12.75">
      <c r="A47">
        <v>9.3994140625E-2</v>
      </c>
      <c r="B47" s="1">
        <v>8.7158203125E-2</v>
      </c>
      <c r="C47" s="8">
        <v>7.51953125E-2</v>
      </c>
      <c r="D47" s="1">
        <v>6.5185546875E-2</v>
      </c>
      <c r="E47" s="1">
        <v>1.5869140625E-2</v>
      </c>
      <c r="F47" s="1">
        <v>2.294921875E-2</v>
      </c>
    </row>
    <row r="48" spans="1:6" ht="12.75">
      <c r="A48">
        <v>7.2021484375E-2</v>
      </c>
      <c r="B48" s="1">
        <v>8.59375E-2</v>
      </c>
      <c r="C48" s="8">
        <v>6.8115234375E-2</v>
      </c>
      <c r="D48" s="1">
        <v>6.396484375E-2</v>
      </c>
      <c r="E48" s="1">
        <v>1.806640625E-2</v>
      </c>
      <c r="F48" s="1">
        <v>1.513671875E-2</v>
      </c>
    </row>
    <row r="49" spans="1:6" ht="12.75">
      <c r="A49">
        <v>5.2978515625E-2</v>
      </c>
      <c r="B49" s="1">
        <v>9.08203125E-2</v>
      </c>
      <c r="C49" s="8">
        <v>6.982421875E-2</v>
      </c>
      <c r="D49" s="1">
        <v>6.298828125E-2</v>
      </c>
      <c r="E49" s="1">
        <v>1.708984375E-2</v>
      </c>
      <c r="F49" s="1">
        <v>1.806640625E-2</v>
      </c>
    </row>
    <row r="50" spans="1:6" ht="12.75">
      <c r="A50">
        <v>5.2001953125E-2</v>
      </c>
      <c r="B50" s="1">
        <v>8.69140625E-2</v>
      </c>
      <c r="C50" s="8">
        <v>6.9091796875E-2</v>
      </c>
      <c r="D50" s="1">
        <v>6.3232421875E-2</v>
      </c>
      <c r="E50" s="1">
        <v>1.708984375E-2</v>
      </c>
      <c r="F50" s="1">
        <v>1.513671875E-2</v>
      </c>
    </row>
    <row r="51" spans="1:6" ht="12.75">
      <c r="A51">
        <v>5.2978515625E-2</v>
      </c>
      <c r="B51" s="1">
        <v>8.7890625E-2</v>
      </c>
      <c r="C51" s="8">
        <v>7.0068359375E-2</v>
      </c>
      <c r="D51" s="1">
        <v>6.396484375E-2</v>
      </c>
      <c r="E51" s="1">
        <v>1.611328125E-2</v>
      </c>
      <c r="F51" s="1">
        <v>1.5869140625E-2</v>
      </c>
    </row>
    <row r="52" spans="1:6" ht="12.75">
      <c r="A52">
        <v>5.2001953125E-2</v>
      </c>
      <c r="B52" s="1">
        <v>8.88671875E-2</v>
      </c>
      <c r="C52" s="8">
        <v>6.787109375E-2</v>
      </c>
      <c r="D52" s="1">
        <v>6.396484375E-2</v>
      </c>
      <c r="E52" s="1">
        <v>1.5869140625E-2</v>
      </c>
      <c r="F52" s="1">
        <v>1.5869140625E-2</v>
      </c>
    </row>
    <row r="53" spans="1:6" ht="12.75">
      <c r="A53">
        <v>5.419921875E-2</v>
      </c>
      <c r="B53" s="1">
        <v>9.0087890625E-2</v>
      </c>
      <c r="C53" s="8">
        <v>6.7138671875E-2</v>
      </c>
      <c r="D53" s="1">
        <v>6.689453125E-2</v>
      </c>
      <c r="E53" s="1">
        <v>1.5869140625E-2</v>
      </c>
      <c r="F53" s="1">
        <v>1.5869140625E-2</v>
      </c>
    </row>
    <row r="54" spans="1:6" ht="12.75">
      <c r="A54">
        <v>5.2001953125E-2</v>
      </c>
      <c r="B54" s="1">
        <v>8.9111328125E-2</v>
      </c>
      <c r="C54" s="8">
        <v>7.1044921875E-2</v>
      </c>
      <c r="D54" s="1">
        <v>6.494140625E-2</v>
      </c>
      <c r="E54" s="1">
        <v>2.197265625E-2</v>
      </c>
      <c r="F54" s="1">
        <v>1.513671875E-2</v>
      </c>
    </row>
    <row r="55" spans="1:6" ht="12.75">
      <c r="A55">
        <v>5.0048828125E-2</v>
      </c>
      <c r="B55" s="1">
        <v>8.59375E-2</v>
      </c>
      <c r="C55" s="8">
        <v>6.787109375E-2</v>
      </c>
      <c r="D55" s="1">
        <v>6.591796875E-2</v>
      </c>
      <c r="E55" s="1">
        <v>1.6845703125E-2</v>
      </c>
      <c r="F55" s="1">
        <v>1.513671875E-2</v>
      </c>
    </row>
    <row r="56" spans="1:6" ht="12.75">
      <c r="A56">
        <v>5.1025390625E-2</v>
      </c>
      <c r="B56" s="1">
        <v>8.59375E-2</v>
      </c>
      <c r="C56" s="8">
        <v>6.787109375E-2</v>
      </c>
      <c r="D56" s="1">
        <v>6.494140625E-2</v>
      </c>
      <c r="E56" s="1">
        <v>1.708984375E-2</v>
      </c>
      <c r="F56" s="1">
        <v>1.611328125E-2</v>
      </c>
    </row>
    <row r="57" spans="1:6" ht="12.75">
      <c r="A57">
        <v>6.103515625E-2</v>
      </c>
      <c r="B57" s="1">
        <v>9.3994140625E-2</v>
      </c>
      <c r="C57" s="8">
        <v>7.51953125E-2</v>
      </c>
      <c r="D57" s="1">
        <v>6.591796875E-2</v>
      </c>
      <c r="E57" s="1">
        <v>1.611328125E-2</v>
      </c>
      <c r="F57" s="1">
        <v>1.904296875E-2</v>
      </c>
    </row>
    <row r="58" spans="1:6" ht="12.75">
      <c r="A58">
        <v>5.2001953125E-2</v>
      </c>
      <c r="B58" s="1">
        <v>9.4970703125E-2</v>
      </c>
      <c r="C58" s="8">
        <v>6.787109375E-2</v>
      </c>
      <c r="D58" s="1">
        <v>6.494140625E-2</v>
      </c>
      <c r="E58" s="1">
        <v>1.708984375E-2</v>
      </c>
      <c r="F58" s="1">
        <v>1.5869140625E-2</v>
      </c>
    </row>
    <row r="59" spans="1:6" ht="12.75">
      <c r="A59">
        <v>5.2001953125E-2</v>
      </c>
      <c r="B59" s="1">
        <v>8.69140625E-2</v>
      </c>
      <c r="C59" s="8">
        <v>8.69140625E-2</v>
      </c>
      <c r="D59" s="1">
        <v>6.396484375E-2</v>
      </c>
      <c r="E59" s="1">
        <v>1.5869140625E-2</v>
      </c>
      <c r="F59" s="1">
        <v>2.197265625E-2</v>
      </c>
    </row>
    <row r="60" spans="1:6" ht="12.75">
      <c r="A60">
        <v>5.1025390625E-2</v>
      </c>
      <c r="B60" s="1">
        <v>8.984375E-2</v>
      </c>
      <c r="C60" s="8">
        <v>7.0068359375E-2</v>
      </c>
      <c r="D60" s="1">
        <v>6.3232421875E-2</v>
      </c>
      <c r="E60" s="1">
        <v>1.4892578125E-2</v>
      </c>
      <c r="F60" s="1">
        <v>1.513671875E-2</v>
      </c>
    </row>
    <row r="61" spans="1:6" ht="12.75">
      <c r="A61">
        <v>5.2001953125E-2</v>
      </c>
      <c r="B61" s="1">
        <v>9.1064453125E-2</v>
      </c>
      <c r="C61" s="8">
        <v>8.7890625E-2</v>
      </c>
      <c r="D61" s="1">
        <v>6.396484375E-2</v>
      </c>
      <c r="E61" s="1">
        <v>1.708984375E-2</v>
      </c>
      <c r="F61" s="1">
        <v>1.4892578125E-2</v>
      </c>
    </row>
    <row r="62" spans="1:6" ht="12.75">
      <c r="A62">
        <v>5.2001953125E-2</v>
      </c>
      <c r="B62" s="1">
        <v>8.69140625E-2</v>
      </c>
      <c r="C62" s="8">
        <v>6.591796875E-2</v>
      </c>
      <c r="D62" s="1">
        <v>6.494140625E-2</v>
      </c>
      <c r="E62" s="1">
        <v>2.099609375E-2</v>
      </c>
      <c r="F62" s="1">
        <v>1.806640625E-2</v>
      </c>
    </row>
    <row r="63" spans="1:6" ht="12.75">
      <c r="A63">
        <v>7.3974609375E-2</v>
      </c>
      <c r="B63" s="1">
        <v>8.88671875E-2</v>
      </c>
      <c r="C63" s="8">
        <v>7.1044921875E-2</v>
      </c>
      <c r="D63" s="1">
        <v>8.69140625E-2</v>
      </c>
      <c r="E63" s="1">
        <v>1.513671875E-2</v>
      </c>
      <c r="F63" s="1">
        <v>1.8798828125E-2</v>
      </c>
    </row>
    <row r="64" spans="1:6" ht="12.75">
      <c r="A64">
        <v>4.98046875E-2</v>
      </c>
      <c r="B64" s="1">
        <v>8.9111328125E-2</v>
      </c>
      <c r="C64" s="8">
        <v>6.689453125E-2</v>
      </c>
      <c r="D64" s="1">
        <v>6.884765625E-2</v>
      </c>
      <c r="E64" s="1">
        <v>1.513671875E-2</v>
      </c>
      <c r="F64" s="1">
        <v>1.5869140625E-2</v>
      </c>
    </row>
    <row r="65" spans="1:6" ht="12.75">
      <c r="A65">
        <v>5.1025390625E-2</v>
      </c>
      <c r="B65" s="1">
        <v>8.7890625E-2</v>
      </c>
      <c r="C65" s="8">
        <v>7.0068359375E-2</v>
      </c>
      <c r="D65" s="1">
        <v>6.396484375E-2</v>
      </c>
      <c r="E65" s="1">
        <v>1.5869140625E-2</v>
      </c>
      <c r="F65" s="1">
        <v>1.5869140625E-2</v>
      </c>
    </row>
    <row r="66" spans="1:6" ht="12.75">
      <c r="A66">
        <v>5.5908203125E-2</v>
      </c>
      <c r="B66" s="1">
        <v>8.8134765625E-2</v>
      </c>
      <c r="C66" s="8">
        <v>8.49609375E-2</v>
      </c>
      <c r="D66" s="1">
        <v>6.9091796875E-2</v>
      </c>
      <c r="E66" s="1">
        <v>1.5869140625E-2</v>
      </c>
      <c r="F66" s="1">
        <v>1.611328125E-2</v>
      </c>
    </row>
    <row r="67" spans="1:6" ht="12.75">
      <c r="A67">
        <v>8.30078125E-2</v>
      </c>
      <c r="B67" s="1">
        <v>9.3994140625E-2</v>
      </c>
      <c r="C67" s="8">
        <v>6.884765625E-2</v>
      </c>
      <c r="D67" s="1">
        <v>6.396484375E-2</v>
      </c>
      <c r="E67" s="1">
        <v>1.904296875E-2</v>
      </c>
      <c r="F67" s="1">
        <v>1.904296875E-2</v>
      </c>
    </row>
    <row r="68" spans="1:6" ht="12.75">
      <c r="A68">
        <v>5.1025390625E-2</v>
      </c>
      <c r="B68" s="1">
        <v>8.9111328125E-2</v>
      </c>
      <c r="C68" s="8">
        <v>7.2998046875E-2</v>
      </c>
      <c r="D68" s="1">
        <v>6.298828125E-2</v>
      </c>
      <c r="E68" s="1">
        <v>1.611328125E-2</v>
      </c>
      <c r="F68" s="1">
        <v>1.513671875E-2</v>
      </c>
    </row>
    <row r="69" spans="1:6" ht="12.75">
      <c r="A69">
        <v>5.1025390625E-2</v>
      </c>
      <c r="B69" s="1">
        <v>8.8134765625E-2</v>
      </c>
      <c r="C69" s="8">
        <v>6.494140625E-2</v>
      </c>
      <c r="D69" s="1">
        <v>6.298828125E-2</v>
      </c>
      <c r="E69" s="1">
        <v>1.806640625E-2</v>
      </c>
      <c r="F69" s="1">
        <v>1.5869140625E-2</v>
      </c>
    </row>
    <row r="70" spans="1:6" ht="12.75">
      <c r="A70">
        <v>5.4931640625E-2</v>
      </c>
      <c r="B70" s="1">
        <v>9.3017578125E-2</v>
      </c>
      <c r="C70" s="8">
        <v>6.396484375E-2</v>
      </c>
      <c r="D70" s="1">
        <v>6.396484375E-2</v>
      </c>
      <c r="E70" s="1">
        <v>1.6845703125E-2</v>
      </c>
      <c r="F70" s="1">
        <v>1.708984375E-2</v>
      </c>
    </row>
    <row r="71" spans="1:6" ht="12.75">
      <c r="A71">
        <v>5.2001953125E-2</v>
      </c>
      <c r="B71" s="1">
        <v>8.9111328125E-2</v>
      </c>
      <c r="C71" s="8">
        <v>6.494140625E-2</v>
      </c>
      <c r="D71" s="1">
        <v>6.5185546875E-2</v>
      </c>
      <c r="E71" s="1">
        <v>1.708984375E-2</v>
      </c>
      <c r="F71" s="1">
        <v>1.513671875E-2</v>
      </c>
    </row>
    <row r="72" spans="1:6" ht="12.75">
      <c r="A72">
        <v>5.2001953125E-2</v>
      </c>
      <c r="B72" s="1">
        <v>0.1279296875</v>
      </c>
      <c r="C72" s="8">
        <v>6.201171875E-2</v>
      </c>
      <c r="D72" s="1">
        <v>6.298828125E-2</v>
      </c>
      <c r="E72" s="1">
        <v>1.708984375E-2</v>
      </c>
      <c r="F72" s="1">
        <v>1.5869140625E-2</v>
      </c>
    </row>
    <row r="73" spans="1:6" ht="12.75">
      <c r="A73">
        <v>5.1025390625E-2</v>
      </c>
      <c r="B73" s="1">
        <v>8.9111328125E-2</v>
      </c>
      <c r="C73" s="8">
        <v>7.2998046875E-2</v>
      </c>
      <c r="D73" s="1">
        <v>6.298828125E-2</v>
      </c>
      <c r="E73" s="1">
        <v>1.6845703125E-2</v>
      </c>
      <c r="F73" s="1">
        <v>1.6845703125E-2</v>
      </c>
    </row>
    <row r="74" spans="1:6" ht="12.75">
      <c r="A74">
        <v>5.2978515625E-2</v>
      </c>
      <c r="B74" s="1">
        <v>8.59375E-2</v>
      </c>
      <c r="C74" s="8">
        <v>6.5185546875E-2</v>
      </c>
      <c r="D74" s="1">
        <v>7.0068359375E-2</v>
      </c>
      <c r="E74" s="1">
        <v>1.5869140625E-2</v>
      </c>
      <c r="F74" s="1">
        <v>1.6845703125E-2</v>
      </c>
    </row>
    <row r="75" spans="1:6" ht="12.75">
      <c r="A75">
        <v>5.7861328125E-2</v>
      </c>
      <c r="B75" s="1">
        <v>9.0087890625E-2</v>
      </c>
      <c r="C75" s="8">
        <v>6.6162109375E-2</v>
      </c>
      <c r="D75" s="1">
        <v>6.4208984375E-2</v>
      </c>
      <c r="E75" s="1">
        <v>1.5869140625E-2</v>
      </c>
      <c r="F75" s="1">
        <v>1.611328125E-2</v>
      </c>
    </row>
    <row r="76" spans="1:6" ht="12.75">
      <c r="A76">
        <v>5.4931640625E-2</v>
      </c>
      <c r="B76" s="1">
        <v>8.59375E-2</v>
      </c>
      <c r="C76" s="8">
        <v>7.4951171875E-2</v>
      </c>
      <c r="D76" s="1">
        <v>6.9091796875E-2</v>
      </c>
      <c r="E76" s="1">
        <v>1.4892578125E-2</v>
      </c>
      <c r="F76" s="1">
        <v>1.611328125E-2</v>
      </c>
    </row>
    <row r="77" spans="1:6" ht="12.75">
      <c r="A77">
        <v>5.1025390625E-2</v>
      </c>
      <c r="B77" s="1">
        <v>8.49609375E-2</v>
      </c>
      <c r="C77" s="8">
        <v>7.2021484375E-2</v>
      </c>
      <c r="D77" s="1">
        <v>6.298828125E-2</v>
      </c>
      <c r="E77" s="1">
        <v>1.611328125E-2</v>
      </c>
      <c r="F77" s="1">
        <v>1.6845703125E-2</v>
      </c>
    </row>
    <row r="78" spans="1:6" ht="12.75">
      <c r="A78">
        <v>6.103515625E-2</v>
      </c>
      <c r="B78" s="1">
        <v>8.59375E-2</v>
      </c>
      <c r="C78" s="8">
        <v>6.7138671875E-2</v>
      </c>
      <c r="D78" s="1">
        <v>6.396484375E-2</v>
      </c>
      <c r="E78" s="1">
        <v>1.6845703125E-2</v>
      </c>
      <c r="F78" s="1">
        <v>1.4892578125E-2</v>
      </c>
    </row>
    <row r="79" spans="1:6" ht="12.75">
      <c r="A79">
        <v>5.2001953125E-2</v>
      </c>
      <c r="B79" s="1">
        <v>8.7890625E-2</v>
      </c>
      <c r="C79" s="8">
        <v>8.10546875E-2</v>
      </c>
      <c r="D79" s="1">
        <v>6.4208984375E-2</v>
      </c>
      <c r="E79" s="1">
        <v>1.611328125E-2</v>
      </c>
      <c r="F79" s="1">
        <v>1.611328125E-2</v>
      </c>
    </row>
    <row r="80" spans="1:6" ht="12.75">
      <c r="A80">
        <v>5.3955078125E-2</v>
      </c>
      <c r="B80" s="1">
        <v>8.69140625E-2</v>
      </c>
      <c r="C80" s="8">
        <v>7.3974609375E-2</v>
      </c>
      <c r="D80" s="1">
        <v>6.494140625E-2</v>
      </c>
      <c r="E80" s="1">
        <v>1.611328125E-2</v>
      </c>
      <c r="F80" s="1">
        <v>1.611328125E-2</v>
      </c>
    </row>
    <row r="81" spans="1:6" ht="12.75">
      <c r="A81">
        <v>5.810546875E-2</v>
      </c>
      <c r="B81" s="1">
        <v>8.7158203125E-2</v>
      </c>
      <c r="C81" s="8">
        <v>7.2021484375E-2</v>
      </c>
      <c r="D81" s="1">
        <v>6.7138671875E-2</v>
      </c>
      <c r="E81" s="1">
        <v>1.708984375E-2</v>
      </c>
      <c r="F81" s="1">
        <v>1.708984375E-2</v>
      </c>
    </row>
    <row r="82" spans="1:6" ht="12.75">
      <c r="A82">
        <v>5.2001953125E-2</v>
      </c>
      <c r="B82" s="1">
        <v>8.49609375E-2</v>
      </c>
      <c r="C82" s="8">
        <v>9.912109375E-2</v>
      </c>
      <c r="D82" s="1">
        <v>6.298828125E-2</v>
      </c>
      <c r="E82" s="1">
        <v>1.513671875E-2</v>
      </c>
      <c r="F82" s="1">
        <v>1.5869140625E-2</v>
      </c>
    </row>
    <row r="83" spans="1:6" ht="12.75">
      <c r="A83">
        <v>5.2001953125E-2</v>
      </c>
      <c r="B83" s="1">
        <v>8.69140625E-2</v>
      </c>
      <c r="C83" s="8">
        <v>6.591796875E-2</v>
      </c>
      <c r="D83" s="1">
        <v>6.494140625E-2</v>
      </c>
      <c r="E83" s="1">
        <v>1.611328125E-2</v>
      </c>
      <c r="F83" s="1">
        <v>2.587890625E-2</v>
      </c>
    </row>
    <row r="84" spans="1:6" ht="12.75">
      <c r="A84">
        <v>5.712890625E-2</v>
      </c>
      <c r="B84" s="1">
        <v>9.814453125E-2</v>
      </c>
      <c r="C84" s="8">
        <v>6.201171875E-2</v>
      </c>
      <c r="D84" s="1">
        <v>6.5185546875E-2</v>
      </c>
      <c r="E84" s="1">
        <v>1.4892578125E-2</v>
      </c>
      <c r="F84" s="1">
        <v>1.5869140625E-2</v>
      </c>
    </row>
    <row r="85" spans="1:6" ht="12.75">
      <c r="A85">
        <v>5.078125E-2</v>
      </c>
      <c r="B85" s="1">
        <v>8.6181640625E-2</v>
      </c>
      <c r="C85" s="8">
        <v>7.0068359375E-2</v>
      </c>
      <c r="D85" s="1">
        <v>6.103515625E-2</v>
      </c>
      <c r="E85" s="1">
        <v>1.6845703125E-2</v>
      </c>
      <c r="F85" s="1">
        <v>1.611328125E-2</v>
      </c>
    </row>
    <row r="86" spans="1:6" ht="12.75">
      <c r="A86">
        <v>5.3955078125E-2</v>
      </c>
      <c r="B86" s="1">
        <v>8.69140625E-2</v>
      </c>
      <c r="C86" s="8">
        <v>6.9091796875E-2</v>
      </c>
      <c r="D86" s="1">
        <v>6.396484375E-2</v>
      </c>
      <c r="E86" s="1">
        <v>1.4892578125E-2</v>
      </c>
      <c r="F86" s="1">
        <v>1.6845703125E-2</v>
      </c>
    </row>
    <row r="87" spans="1:6" ht="12.75">
      <c r="A87">
        <v>5.1025390625E-2</v>
      </c>
      <c r="B87" s="1">
        <v>8.88671875E-2</v>
      </c>
      <c r="C87" s="8">
        <v>7.0068359375E-2</v>
      </c>
      <c r="D87" s="1">
        <v>6.298828125E-2</v>
      </c>
      <c r="E87" s="1">
        <v>2.099609375E-2</v>
      </c>
      <c r="F87" s="1">
        <v>1.5869140625E-2</v>
      </c>
    </row>
    <row r="88" spans="1:6" ht="12.75">
      <c r="A88">
        <v>5.810546875E-2</v>
      </c>
      <c r="B88" s="1">
        <v>9.6923828125E-2</v>
      </c>
      <c r="C88" s="8">
        <v>7.7880859375E-2</v>
      </c>
      <c r="D88" s="1">
        <v>6.103515625E-2</v>
      </c>
      <c r="E88" s="1">
        <v>2.6123046875E-2</v>
      </c>
      <c r="F88" s="1">
        <v>1.4892578125E-2</v>
      </c>
    </row>
    <row r="89" spans="1:6" ht="12.75">
      <c r="A89">
        <v>5.2001953125E-2</v>
      </c>
      <c r="B89" s="1">
        <v>9.2041015625E-2</v>
      </c>
      <c r="C89" s="8">
        <v>7.4951171875E-2</v>
      </c>
      <c r="D89" s="1">
        <v>6.201171875E-2</v>
      </c>
      <c r="E89" s="1">
        <v>1.513671875E-2</v>
      </c>
      <c r="F89" s="1">
        <v>1.611328125E-2</v>
      </c>
    </row>
    <row r="90" spans="1:6" ht="12.75">
      <c r="A90">
        <v>5.2001953125E-2</v>
      </c>
      <c r="B90" s="1">
        <v>8.88671875E-2</v>
      </c>
      <c r="C90" s="8">
        <v>8.69140625E-2</v>
      </c>
      <c r="D90" s="1">
        <v>6.298828125E-2</v>
      </c>
      <c r="E90" s="1">
        <v>1.4892578125E-2</v>
      </c>
      <c r="F90" s="1">
        <v>1.611328125E-2</v>
      </c>
    </row>
    <row r="91" spans="1:6" ht="12.75">
      <c r="A91">
        <v>5.2001953125E-2</v>
      </c>
      <c r="B91" s="1">
        <v>8.88671875E-2</v>
      </c>
      <c r="C91" s="8">
        <v>6.298828125E-2</v>
      </c>
      <c r="D91" s="1">
        <v>6.298828125E-2</v>
      </c>
      <c r="E91" s="1">
        <v>1.4892578125E-2</v>
      </c>
      <c r="F91" s="1">
        <v>1.6845703125E-2</v>
      </c>
    </row>
    <row r="92" spans="1:6" ht="12.75">
      <c r="A92">
        <v>5.2001953125E-2</v>
      </c>
      <c r="B92" s="1">
        <v>9.0087890625E-2</v>
      </c>
      <c r="C92" s="8">
        <v>6.591796875E-2</v>
      </c>
      <c r="D92" s="1">
        <v>6.103515625E-2</v>
      </c>
      <c r="E92" s="1">
        <v>1.4892578125E-2</v>
      </c>
      <c r="F92" s="1">
        <v>1.806640625E-2</v>
      </c>
    </row>
    <row r="93" spans="1:6" ht="12.75">
      <c r="A93">
        <v>5.3955078125E-2</v>
      </c>
      <c r="B93" s="1">
        <v>8.6181640625E-2</v>
      </c>
      <c r="C93" s="8">
        <v>6.201171875E-2</v>
      </c>
      <c r="D93" s="1">
        <v>6.591796875E-2</v>
      </c>
      <c r="E93" s="1">
        <v>1.611328125E-2</v>
      </c>
      <c r="F93" s="1">
        <v>1.4892578125E-2</v>
      </c>
    </row>
    <row r="94" spans="1:6" ht="12.75">
      <c r="A94">
        <v>5.712890625E-2</v>
      </c>
      <c r="B94" s="1">
        <v>8.59375E-2</v>
      </c>
      <c r="C94" s="8">
        <v>6.298828125E-2</v>
      </c>
      <c r="D94" s="1">
        <v>6.103515625E-2</v>
      </c>
      <c r="E94" s="1">
        <v>1.5869140625E-2</v>
      </c>
      <c r="F94" s="1">
        <v>1.513671875E-2</v>
      </c>
    </row>
    <row r="95" spans="1:6" ht="12.75">
      <c r="A95">
        <v>5.6884765625E-2</v>
      </c>
      <c r="B95" s="1">
        <v>8.69140625E-2</v>
      </c>
      <c r="C95" s="8">
        <v>6.201171875E-2</v>
      </c>
      <c r="D95" s="1">
        <v>6.298828125E-2</v>
      </c>
      <c r="E95" s="1">
        <v>1.5869140625E-2</v>
      </c>
      <c r="F95" s="1">
        <v>1.904296875E-2</v>
      </c>
    </row>
    <row r="96" spans="1:6" ht="12.75">
      <c r="A96">
        <v>5.0048828125E-2</v>
      </c>
      <c r="B96" s="1">
        <v>9.08203125E-2</v>
      </c>
      <c r="C96" s="8">
        <v>6.103515625E-2</v>
      </c>
      <c r="D96" s="1">
        <v>6.005859375E-2</v>
      </c>
      <c r="E96" s="1">
        <v>1.6845703125E-2</v>
      </c>
      <c r="F96" s="1">
        <v>1.4892578125E-2</v>
      </c>
    </row>
    <row r="97" spans="1:6" ht="12.75">
      <c r="A97">
        <v>5.2001953125E-2</v>
      </c>
      <c r="B97" s="1">
        <v>8.9111328125E-2</v>
      </c>
      <c r="C97" s="8">
        <v>6.201171875E-2</v>
      </c>
      <c r="D97" s="1">
        <v>6.103515625E-2</v>
      </c>
      <c r="E97" s="1">
        <v>1.513671875E-2</v>
      </c>
      <c r="F97" s="1">
        <v>1.611328125E-2</v>
      </c>
    </row>
    <row r="98" spans="1:6" ht="12.75">
      <c r="A98">
        <v>5.2978515625E-2</v>
      </c>
      <c r="B98" s="1">
        <v>8.3984375E-2</v>
      </c>
      <c r="C98" s="8">
        <v>6.396484375E-2</v>
      </c>
      <c r="D98" s="1">
        <v>6.298828125E-2</v>
      </c>
      <c r="E98" s="1">
        <v>1.513671875E-2</v>
      </c>
      <c r="F98" s="1">
        <v>1.611328125E-2</v>
      </c>
    </row>
    <row r="99" spans="1:6" ht="12.75">
      <c r="A99">
        <v>5.2978515625E-2</v>
      </c>
      <c r="B99" s="1">
        <v>0.130126953125</v>
      </c>
      <c r="C99" s="8">
        <v>6.005859375E-2</v>
      </c>
      <c r="D99" s="1">
        <v>6.005859375E-2</v>
      </c>
      <c r="E99" s="1">
        <v>1.5869140625E-2</v>
      </c>
      <c r="F99" s="1">
        <v>1.708984375E-2</v>
      </c>
    </row>
    <row r="100" spans="1:6" ht="12.75">
      <c r="A100">
        <v>8.10546875E-2</v>
      </c>
      <c r="B100" s="1">
        <v>8.984375E-2</v>
      </c>
      <c r="C100" s="8">
        <v>6.396484375E-2</v>
      </c>
      <c r="D100" s="1">
        <v>6.396484375E-2</v>
      </c>
      <c r="E100" s="1">
        <v>1.5869140625E-2</v>
      </c>
      <c r="F100" s="1">
        <v>1.904296875E-2</v>
      </c>
    </row>
    <row r="101" spans="1:6" ht="12.75">
      <c r="A101">
        <v>5.2001953125E-2</v>
      </c>
      <c r="B101" s="1">
        <v>8.7890625E-2</v>
      </c>
      <c r="C101" s="8">
        <v>5.908203125E-2</v>
      </c>
      <c r="D101" s="1">
        <v>6.201171875E-2</v>
      </c>
      <c r="E101" s="1">
        <v>1.611328125E-2</v>
      </c>
      <c r="F101" s="1">
        <v>1.2939453125E-2</v>
      </c>
    </row>
    <row r="102" spans="1:6" ht="12.75">
      <c r="A102" s="1"/>
      <c r="B102" s="1"/>
      <c r="C102" s="8"/>
      <c r="D102" s="1"/>
      <c r="E102" s="1"/>
      <c r="F102" s="1"/>
    </row>
    <row r="103" spans="1:6" ht="12.75">
      <c r="A103" s="1"/>
      <c r="B103" s="1"/>
      <c r="C103" s="8"/>
      <c r="D103" s="1"/>
      <c r="E103" s="1"/>
      <c r="F103" s="1"/>
    </row>
    <row r="104" spans="1:6" ht="12.75">
      <c r="A104" s="1"/>
      <c r="B104" s="1"/>
      <c r="C104" s="8"/>
      <c r="D104" s="1"/>
      <c r="E104" s="1"/>
      <c r="F104" s="1"/>
    </row>
    <row r="105" spans="1:6" ht="12.75">
      <c r="A105" s="1"/>
      <c r="B105" s="1"/>
      <c r="C105" s="8"/>
      <c r="D105" s="1"/>
      <c r="E105" s="1"/>
      <c r="F105" s="1"/>
    </row>
    <row r="106" spans="1:6" ht="12.75">
      <c r="A106" s="1"/>
      <c r="B106" s="1"/>
      <c r="C106" s="8"/>
      <c r="D106" s="1"/>
      <c r="E106" s="1"/>
      <c r="F106" s="1"/>
    </row>
    <row r="107" spans="1:6" ht="12.75">
      <c r="A107" s="1"/>
      <c r="B107" s="1"/>
      <c r="C107" s="8"/>
      <c r="D107" s="1"/>
      <c r="E107" s="1"/>
      <c r="F107" s="1"/>
    </row>
    <row r="108" spans="1:6" ht="12.75">
      <c r="A108" s="1"/>
      <c r="B108" s="1"/>
      <c r="C108" s="8"/>
      <c r="D108" s="1"/>
      <c r="E108" s="1"/>
      <c r="F108" s="1"/>
    </row>
    <row r="109" spans="1:6" ht="12.75">
      <c r="A109" s="1"/>
      <c r="B109" s="1"/>
      <c r="C109" s="8"/>
      <c r="D109" s="1"/>
      <c r="E109" s="1"/>
      <c r="F109" s="1"/>
    </row>
    <row r="110" spans="1:6" ht="12.75">
      <c r="A110" s="1"/>
      <c r="B110" s="1"/>
      <c r="C110" s="8"/>
      <c r="D110" s="1"/>
      <c r="E110" s="1"/>
      <c r="F110" s="1"/>
    </row>
    <row r="111" spans="1:6" ht="12.75">
      <c r="A111" s="1"/>
      <c r="B111" s="1"/>
      <c r="C111" s="8"/>
      <c r="D111" s="1"/>
      <c r="E111" s="1"/>
      <c r="F111" s="1"/>
    </row>
    <row r="112" spans="1:6" ht="12.75">
      <c r="A112" s="1"/>
      <c r="B112" s="1"/>
      <c r="C112" s="8"/>
      <c r="D112" s="1"/>
      <c r="E112" s="1"/>
      <c r="F112" s="1"/>
    </row>
    <row r="113" spans="1:6" ht="12.75">
      <c r="A113" s="1"/>
      <c r="B113" s="1"/>
      <c r="C113" s="8"/>
      <c r="D113" s="1"/>
      <c r="E113" s="1"/>
      <c r="F113" s="1"/>
    </row>
    <row r="114" spans="1:6" ht="12.75">
      <c r="A114" s="1"/>
      <c r="B114" s="1"/>
      <c r="C114" s="8"/>
      <c r="D114" s="1"/>
      <c r="E114" s="1"/>
      <c r="F114" s="1"/>
    </row>
    <row r="115" spans="1:6" ht="12.75">
      <c r="A115" s="1"/>
      <c r="B115" s="1"/>
      <c r="C115" s="8"/>
      <c r="D115" s="1"/>
      <c r="E115" s="1"/>
      <c r="F115" s="1"/>
    </row>
    <row r="116" spans="1:6" ht="12.75">
      <c r="A116" s="1"/>
      <c r="B116" s="1"/>
      <c r="C116" s="8"/>
      <c r="D116" s="1"/>
      <c r="E116" s="1"/>
      <c r="F116" s="1"/>
    </row>
    <row r="117" spans="1:6" ht="12.75">
      <c r="A117" s="1"/>
      <c r="B117" s="1"/>
      <c r="C117" s="8"/>
      <c r="D117" s="1"/>
      <c r="E117" s="1"/>
      <c r="F117" s="1"/>
    </row>
    <row r="118" spans="1:6" ht="12.75">
      <c r="A118" s="1"/>
      <c r="B118" s="1"/>
      <c r="C118" s="8"/>
      <c r="D118" s="1"/>
      <c r="E118" s="1"/>
      <c r="F118" s="1"/>
    </row>
    <row r="119" spans="1:6" ht="12.75">
      <c r="A119" s="1"/>
      <c r="B119" s="1"/>
      <c r="C119" s="8"/>
      <c r="D119" s="1"/>
      <c r="E119" s="1"/>
      <c r="F119" s="1"/>
    </row>
    <row r="120" spans="1:6" ht="12.75">
      <c r="A120" s="1"/>
      <c r="B120" s="1"/>
      <c r="C120" s="8"/>
      <c r="D120" s="1"/>
      <c r="E120" s="1"/>
      <c r="F120" s="1"/>
    </row>
    <row r="121" spans="1:6" ht="12.75">
      <c r="A121" s="1"/>
      <c r="B121" s="1"/>
      <c r="C121" s="8"/>
      <c r="D121" s="1"/>
      <c r="E121" s="1"/>
      <c r="F121" s="1"/>
    </row>
    <row r="122" spans="1:6" ht="12.75">
      <c r="A122" s="1"/>
      <c r="B122" s="1"/>
      <c r="C122" s="8"/>
      <c r="D122" s="1"/>
      <c r="E122" s="1"/>
      <c r="F122" s="1"/>
    </row>
    <row r="123" spans="1:6" ht="12.75">
      <c r="A123" s="1"/>
      <c r="B123" s="1"/>
      <c r="C123" s="8"/>
      <c r="D123" s="1"/>
      <c r="E123" s="1"/>
      <c r="F123" s="1"/>
    </row>
    <row r="124" spans="1:6" ht="12.75">
      <c r="A124" s="1"/>
      <c r="B124" s="1"/>
      <c r="C124" s="8"/>
      <c r="D124" s="1"/>
      <c r="E124" s="1"/>
      <c r="F124" s="1"/>
    </row>
    <row r="125" spans="1:6" ht="12.75">
      <c r="A125" s="1"/>
      <c r="B125" s="1"/>
      <c r="C125" s="8"/>
      <c r="D125" s="1"/>
      <c r="E125" s="1"/>
      <c r="F125" s="1"/>
    </row>
    <row r="126" spans="1:6" ht="12.75">
      <c r="A126" s="1"/>
      <c r="B126" s="1"/>
      <c r="C126" s="8"/>
      <c r="D126" s="1"/>
      <c r="E126" s="1"/>
      <c r="F126" s="1"/>
    </row>
    <row r="127" spans="1:6" ht="12.75">
      <c r="A127" s="1"/>
      <c r="B127" s="1"/>
      <c r="C127" s="8"/>
      <c r="D127" s="1"/>
      <c r="E127" s="1"/>
      <c r="F127" s="1"/>
    </row>
    <row r="128" spans="1:6" ht="12.75">
      <c r="A128" s="1"/>
      <c r="B128" s="1"/>
      <c r="C128" s="8"/>
      <c r="D128" s="1"/>
      <c r="E128" s="1"/>
      <c r="F128" s="1"/>
    </row>
    <row r="129" spans="1:6" ht="12.75">
      <c r="A129" s="1"/>
      <c r="B129" s="1"/>
      <c r="C129" s="8"/>
      <c r="D129" s="1"/>
      <c r="E129" s="1"/>
      <c r="F129" s="1"/>
    </row>
    <row r="130" spans="1:6" ht="12.75">
      <c r="A130" s="1"/>
      <c r="B130" s="1"/>
      <c r="C130" s="8"/>
      <c r="D130" s="1"/>
      <c r="E130" s="1"/>
      <c r="F130" s="1"/>
    </row>
    <row r="131" spans="1:6" ht="12.75">
      <c r="A131" s="1"/>
      <c r="B131" s="1"/>
      <c r="C131" s="8"/>
      <c r="D131" s="1"/>
      <c r="E131" s="1"/>
      <c r="F131" s="1"/>
    </row>
    <row r="132" spans="1:6" ht="12.75">
      <c r="A132" s="1"/>
      <c r="B132" s="1"/>
      <c r="C132" s="8"/>
      <c r="D132" s="1"/>
      <c r="E132" s="1"/>
      <c r="F132" s="1"/>
    </row>
    <row r="133" spans="1:6" ht="12.75">
      <c r="A133" s="1"/>
      <c r="B133" s="1"/>
      <c r="C133" s="8"/>
      <c r="D133" s="1"/>
      <c r="E133" s="1"/>
      <c r="F133" s="1"/>
    </row>
    <row r="134" spans="1:6" ht="12.75">
      <c r="A134" s="1"/>
      <c r="B134" s="1"/>
      <c r="C134" s="8"/>
      <c r="D134" s="1"/>
      <c r="E134" s="1"/>
      <c r="F134" s="1"/>
    </row>
    <row r="135" spans="1:6" ht="12.75">
      <c r="A135" s="1"/>
      <c r="B135" s="1"/>
      <c r="C135" s="8"/>
      <c r="D135" s="1"/>
      <c r="E135" s="1"/>
      <c r="F135" s="1"/>
    </row>
    <row r="136" spans="1:6" ht="12.75">
      <c r="A136" s="1"/>
      <c r="B136" s="1"/>
      <c r="C136" s="8"/>
      <c r="D136" s="1"/>
      <c r="E136" s="1"/>
      <c r="F136" s="1"/>
    </row>
    <row r="137" spans="1:6" ht="12.75">
      <c r="A137" s="1"/>
      <c r="B137" s="1"/>
      <c r="C137" s="8"/>
      <c r="D137" s="1"/>
      <c r="E137" s="1"/>
      <c r="F137" s="1"/>
    </row>
    <row r="138" spans="1:6" ht="12.75">
      <c r="A138" s="1"/>
      <c r="B138" s="1"/>
      <c r="C138" s="8"/>
      <c r="D138" s="1"/>
      <c r="E138" s="1"/>
      <c r="F138" s="1"/>
    </row>
    <row r="139" spans="1:6" ht="12.75">
      <c r="A139" s="1"/>
      <c r="B139" s="1"/>
      <c r="C139" s="8"/>
      <c r="D139" s="1"/>
      <c r="E139" s="1"/>
      <c r="F139" s="1"/>
    </row>
    <row r="140" spans="1:6" ht="12.75">
      <c r="A140" s="1"/>
      <c r="B140" s="1"/>
      <c r="C140" s="8"/>
      <c r="D140" s="1"/>
      <c r="E140" s="1"/>
      <c r="F140" s="1"/>
    </row>
    <row r="141" spans="1:6" ht="12.75">
      <c r="A141" s="1"/>
      <c r="B141" s="1"/>
      <c r="C141" s="8"/>
      <c r="D141" s="1"/>
      <c r="E141" s="1"/>
      <c r="F141" s="1"/>
    </row>
    <row r="142" spans="1:6" ht="12.75">
      <c r="A142" s="1"/>
      <c r="B142" s="1"/>
      <c r="C142" s="8"/>
      <c r="D142" s="1"/>
      <c r="E142" s="1"/>
      <c r="F142" s="1"/>
    </row>
    <row r="143" spans="1:6" ht="12.75">
      <c r="A143" s="1"/>
      <c r="B143" s="1"/>
      <c r="C143" s="8"/>
      <c r="D143" s="1"/>
      <c r="E143" s="1"/>
      <c r="F143" s="1"/>
    </row>
    <row r="144" spans="1:6" ht="12.75">
      <c r="A144" s="1"/>
      <c r="B144" s="1"/>
      <c r="C144" s="8"/>
      <c r="D144" s="1"/>
      <c r="E144" s="1"/>
      <c r="F144" s="1"/>
    </row>
    <row r="145" spans="1:6" ht="12.75">
      <c r="A145" s="1"/>
      <c r="B145" s="1"/>
      <c r="C145" s="8"/>
      <c r="D145" s="1"/>
      <c r="E145" s="1"/>
      <c r="F145" s="1"/>
    </row>
    <row r="146" spans="1:6" ht="12.75">
      <c r="A146" s="1"/>
      <c r="B146" s="1"/>
      <c r="C146" s="8"/>
      <c r="D146" s="1"/>
      <c r="E146" s="1"/>
      <c r="F146" s="1"/>
    </row>
    <row r="147" spans="1:6" ht="12.75">
      <c r="A147" s="1"/>
      <c r="B147" s="1"/>
      <c r="C147" s="8"/>
      <c r="D147" s="1"/>
      <c r="E147" s="1"/>
      <c r="F147" s="1"/>
    </row>
    <row r="148" spans="1:6" ht="12.75">
      <c r="A148" s="1"/>
      <c r="B148" s="1"/>
      <c r="C148" s="8"/>
      <c r="D148" s="1"/>
      <c r="E148" s="1"/>
      <c r="F148" s="1"/>
    </row>
    <row r="149" spans="1:6" ht="12.75">
      <c r="A149" s="1"/>
      <c r="B149" s="1"/>
      <c r="C149" s="8"/>
      <c r="D149" s="1"/>
      <c r="E149" s="1"/>
      <c r="F149" s="1"/>
    </row>
    <row r="150" spans="1:6" ht="12.75">
      <c r="A150" s="1"/>
      <c r="B150" s="1"/>
      <c r="C150" s="8"/>
      <c r="D150" s="1"/>
      <c r="E150" s="1"/>
      <c r="F150" s="1"/>
    </row>
    <row r="151" spans="1:6" ht="12.75">
      <c r="A151" s="1"/>
      <c r="B151" s="1"/>
      <c r="C151" s="8"/>
      <c r="D151" s="1"/>
      <c r="E151" s="1"/>
      <c r="F151" s="1"/>
    </row>
    <row r="152" spans="1:6" ht="12.75">
      <c r="A152" s="1"/>
      <c r="B152" s="1"/>
      <c r="C152" s="8"/>
      <c r="D152" s="1"/>
      <c r="E152" s="1"/>
      <c r="F152" s="1"/>
    </row>
    <row r="153" spans="1:6" ht="12.75">
      <c r="A153" s="1"/>
      <c r="B153" s="1"/>
      <c r="C153" s="8"/>
      <c r="D153" s="1"/>
      <c r="E153" s="1"/>
      <c r="F153" s="1"/>
    </row>
    <row r="154" spans="1:6" ht="12.75">
      <c r="A154" s="1"/>
      <c r="B154" s="1"/>
      <c r="C154" s="8"/>
      <c r="D154" s="1"/>
      <c r="E154" s="1"/>
      <c r="F154" s="1"/>
    </row>
    <row r="155" spans="1:6" ht="12.75">
      <c r="A155" s="1"/>
      <c r="B155" s="1"/>
      <c r="C155" s="8"/>
      <c r="D155" s="1"/>
      <c r="E155" s="1"/>
      <c r="F155" s="1"/>
    </row>
    <row r="156" spans="1:6" ht="12.75">
      <c r="A156" s="1"/>
      <c r="B156" s="1"/>
      <c r="C156" s="8"/>
      <c r="D156" s="1"/>
      <c r="E156" s="1"/>
      <c r="F156" s="1"/>
    </row>
    <row r="157" spans="1:6" ht="12.75">
      <c r="A157" s="1"/>
      <c r="B157" s="1"/>
      <c r="C157" s="8"/>
      <c r="D157" s="1"/>
      <c r="E157" s="1"/>
      <c r="F157" s="1"/>
    </row>
    <row r="158" spans="1:6" ht="12.75">
      <c r="A158" s="1"/>
      <c r="B158" s="1"/>
      <c r="C158" s="8"/>
      <c r="D158" s="1"/>
      <c r="E158" s="1"/>
      <c r="F158" s="1"/>
    </row>
    <row r="159" spans="1:6" ht="12.75">
      <c r="A159" s="1"/>
      <c r="B159" s="1"/>
      <c r="C159" s="8"/>
      <c r="D159" s="1"/>
      <c r="E159" s="1"/>
      <c r="F159" s="1"/>
    </row>
    <row r="160" spans="1:6" ht="12.75">
      <c r="A160" s="1"/>
      <c r="B160" s="1"/>
      <c r="C160" s="8"/>
      <c r="D160" s="1"/>
      <c r="E160" s="1"/>
      <c r="F160" s="1"/>
    </row>
    <row r="161" spans="1:6" ht="12.75">
      <c r="A161" s="1"/>
      <c r="B161" s="1"/>
      <c r="C161" s="8"/>
      <c r="D161" s="1"/>
      <c r="E161" s="1"/>
      <c r="F161" s="1"/>
    </row>
    <row r="162" spans="1:6" ht="12.75">
      <c r="A162" s="1"/>
      <c r="B162" s="1"/>
      <c r="C162" s="8"/>
      <c r="D162" s="1"/>
      <c r="E162" s="1"/>
      <c r="F162" s="1"/>
    </row>
    <row r="163" spans="1:6" ht="12.75">
      <c r="A163" s="1"/>
      <c r="B163" s="1"/>
      <c r="C163" s="8"/>
      <c r="D163" s="1"/>
      <c r="E163" s="1"/>
      <c r="F163" s="1"/>
    </row>
    <row r="164" spans="1:6" ht="12.75">
      <c r="A164" s="1"/>
      <c r="B164" s="1"/>
      <c r="C164" s="8"/>
      <c r="D164" s="1"/>
      <c r="E164" s="1"/>
      <c r="F164" s="1"/>
    </row>
    <row r="165" spans="1:6" ht="12.75">
      <c r="A165" s="1"/>
      <c r="B165" s="1"/>
      <c r="C165" s="8"/>
      <c r="D165" s="1"/>
      <c r="E165" s="1"/>
      <c r="F165" s="1"/>
    </row>
    <row r="166" spans="1:6" ht="12.75">
      <c r="A166" s="1"/>
      <c r="B166" s="1"/>
      <c r="C166" s="8"/>
      <c r="D166" s="1"/>
      <c r="E166" s="1"/>
      <c r="F166" s="1"/>
    </row>
    <row r="167" spans="1:6" ht="12.75">
      <c r="A167" s="1"/>
      <c r="B167" s="1"/>
      <c r="C167" s="8"/>
      <c r="D167" s="1"/>
      <c r="E167" s="1"/>
      <c r="F167" s="1"/>
    </row>
    <row r="168" spans="1:6" ht="12.75">
      <c r="A168" s="1"/>
      <c r="B168" s="1"/>
      <c r="C168" s="8"/>
      <c r="D168" s="1"/>
      <c r="E168" s="1"/>
      <c r="F168" s="1"/>
    </row>
    <row r="169" spans="1:6" ht="12.75">
      <c r="A169" s="1"/>
      <c r="B169" s="1"/>
      <c r="C169" s="8"/>
      <c r="D169" s="1"/>
      <c r="E169" s="1"/>
      <c r="F169" s="1"/>
    </row>
    <row r="170" spans="1:6" ht="12.75">
      <c r="A170" s="1"/>
      <c r="B170" s="1"/>
      <c r="C170" s="8"/>
      <c r="D170" s="1"/>
      <c r="E170" s="1"/>
      <c r="F170" s="1"/>
    </row>
    <row r="171" spans="1:6" ht="12.75">
      <c r="A171" s="1"/>
      <c r="B171" s="1"/>
      <c r="C171" s="8"/>
      <c r="D171" s="1"/>
      <c r="E171" s="1"/>
      <c r="F171" s="1"/>
    </row>
    <row r="172" spans="1:6" ht="12.75">
      <c r="A172" s="1"/>
      <c r="B172" s="1"/>
      <c r="C172" s="8"/>
      <c r="D172" s="1"/>
      <c r="E172" s="1"/>
      <c r="F172" s="1"/>
    </row>
    <row r="173" spans="1:6" ht="12.75">
      <c r="A173" s="1"/>
      <c r="B173" s="1"/>
      <c r="C173" s="8"/>
      <c r="D173" s="1"/>
      <c r="E173" s="1"/>
      <c r="F173" s="1"/>
    </row>
    <row r="174" spans="1:6" ht="12.75">
      <c r="A174" s="1"/>
      <c r="B174" s="1"/>
      <c r="C174" s="8"/>
      <c r="D174" s="1"/>
      <c r="E174" s="1"/>
      <c r="F174" s="1"/>
    </row>
    <row r="175" spans="1:6" ht="12.75">
      <c r="A175" s="1"/>
      <c r="B175" s="1"/>
      <c r="C175" s="8"/>
      <c r="D175" s="1"/>
      <c r="E175" s="1"/>
      <c r="F175" s="1"/>
    </row>
    <row r="176" spans="1:6" ht="12.75">
      <c r="A176" s="1"/>
      <c r="B176" s="1"/>
      <c r="C176" s="8"/>
      <c r="D176" s="1"/>
      <c r="E176" s="1"/>
      <c r="F176" s="1"/>
    </row>
    <row r="177" spans="1:6" ht="12.75">
      <c r="A177" s="1"/>
      <c r="B177" s="1"/>
      <c r="C177" s="8"/>
      <c r="D177" s="1"/>
      <c r="E177" s="1"/>
      <c r="F177" s="1"/>
    </row>
    <row r="178" spans="1:6" ht="12.75">
      <c r="A178" s="1"/>
      <c r="B178" s="1"/>
      <c r="C178" s="8"/>
      <c r="D178" s="1"/>
      <c r="E178" s="1"/>
      <c r="F178" s="1"/>
    </row>
    <row r="179" spans="1:6" ht="12.75">
      <c r="A179" s="1"/>
      <c r="B179" s="1"/>
      <c r="C179" s="8"/>
      <c r="D179" s="1"/>
      <c r="E179" s="1"/>
      <c r="F179" s="1"/>
    </row>
    <row r="180" spans="1:6" ht="12.75">
      <c r="A180" s="1"/>
      <c r="B180" s="1"/>
      <c r="C180" s="8"/>
      <c r="D180" s="1"/>
      <c r="E180" s="1"/>
      <c r="F180" s="1"/>
    </row>
    <row r="181" spans="1:6" ht="12.75">
      <c r="A181" s="1"/>
      <c r="B181" s="1"/>
      <c r="C181" s="8"/>
      <c r="D181" s="1"/>
      <c r="E181" s="1"/>
      <c r="F181" s="1"/>
    </row>
    <row r="182" spans="1:6" ht="12.75">
      <c r="A182" s="1"/>
      <c r="B182" s="1"/>
      <c r="C182" s="8"/>
      <c r="D182" s="1"/>
      <c r="E182" s="1"/>
      <c r="F182" s="1"/>
    </row>
    <row r="183" spans="1:6" ht="12.75">
      <c r="A183" s="1"/>
      <c r="B183" s="1"/>
      <c r="C183" s="8"/>
      <c r="D183" s="1"/>
      <c r="E183" s="1"/>
      <c r="F183" s="1"/>
    </row>
    <row r="184" spans="1:6" ht="12.75">
      <c r="A184" s="1"/>
      <c r="B184" s="1"/>
      <c r="C184" s="8"/>
      <c r="D184" s="1"/>
      <c r="E184" s="1"/>
      <c r="F184" s="1"/>
    </row>
    <row r="185" spans="1:6" ht="12.75">
      <c r="A185" s="1"/>
      <c r="B185" s="1"/>
      <c r="C185" s="8"/>
      <c r="D185" s="1"/>
      <c r="E185" s="1"/>
      <c r="F185" s="1"/>
    </row>
    <row r="186" spans="1:6" ht="12.75">
      <c r="A186" s="1"/>
      <c r="B186" s="1"/>
      <c r="C186" s="8"/>
      <c r="D186" s="1"/>
      <c r="E186" s="1"/>
      <c r="F186" s="1"/>
    </row>
    <row r="187" spans="1:6" ht="12.75">
      <c r="A187" s="1"/>
      <c r="B187" s="1"/>
      <c r="C187" s="8"/>
      <c r="D187" s="1"/>
      <c r="E187" s="1"/>
      <c r="F187" s="1"/>
    </row>
    <row r="188" spans="1:6" ht="12.75">
      <c r="A188" s="1"/>
      <c r="B188" s="1"/>
      <c r="C188" s="8"/>
      <c r="D188" s="1"/>
      <c r="E188" s="1"/>
      <c r="F188" s="1"/>
    </row>
    <row r="189" spans="1:6" ht="12.75">
      <c r="A189" s="1"/>
      <c r="B189" s="1"/>
      <c r="C189" s="8"/>
      <c r="D189" s="1"/>
      <c r="E189" s="1"/>
      <c r="F189" s="1"/>
    </row>
    <row r="190" spans="1:6" ht="12.75">
      <c r="A190" s="1"/>
      <c r="B190" s="1"/>
      <c r="C190" s="8"/>
      <c r="D190" s="1"/>
      <c r="E190" s="1"/>
      <c r="F190" s="1"/>
    </row>
    <row r="191" spans="1:6" ht="12.75">
      <c r="A191" s="1"/>
      <c r="B191" s="1"/>
      <c r="C191" s="8"/>
      <c r="D191" s="1"/>
      <c r="E191" s="1"/>
      <c r="F191" s="1"/>
    </row>
    <row r="192" spans="1:6" ht="12.75">
      <c r="A192" s="1"/>
      <c r="B192" s="1"/>
      <c r="C192" s="8"/>
      <c r="D192" s="1"/>
      <c r="E192" s="1"/>
      <c r="F192" s="1"/>
    </row>
    <row r="193" spans="1:6" ht="12.75">
      <c r="A193" s="1"/>
      <c r="B193" s="1"/>
      <c r="C193" s="8"/>
      <c r="D193" s="1"/>
      <c r="E193" s="1"/>
      <c r="F193" s="1"/>
    </row>
    <row r="194" spans="1:6" ht="12.75">
      <c r="A194" s="1"/>
      <c r="B194" s="1"/>
      <c r="C194" s="8"/>
      <c r="D194" s="1"/>
      <c r="E194" s="1"/>
      <c r="F194" s="1"/>
    </row>
    <row r="195" spans="1:6" ht="12.75">
      <c r="A195" s="1"/>
      <c r="B195" s="1"/>
      <c r="C195" s="8"/>
      <c r="D195" s="1"/>
      <c r="E195" s="1"/>
      <c r="F195" s="1"/>
    </row>
    <row r="196" spans="1:6" ht="12.75">
      <c r="A196" s="1"/>
      <c r="B196" s="1"/>
      <c r="C196" s="8"/>
      <c r="D196" s="1"/>
      <c r="E196" s="1"/>
      <c r="F196" s="1"/>
    </row>
    <row r="197" spans="1:6" ht="12.75">
      <c r="A197" s="1"/>
      <c r="B197" s="1"/>
      <c r="C197" s="8"/>
      <c r="D197" s="1"/>
      <c r="E197" s="1"/>
      <c r="F197" s="1"/>
    </row>
    <row r="198" spans="1:6" ht="12.75">
      <c r="A198" s="1"/>
      <c r="B198" s="1"/>
      <c r="C198" s="8"/>
      <c r="D198" s="1"/>
      <c r="E198" s="1"/>
      <c r="F198" s="1"/>
    </row>
    <row r="199" spans="1:6" ht="12.75">
      <c r="A199" s="1"/>
      <c r="B199" s="1"/>
      <c r="C199" s="8"/>
      <c r="D199" s="1"/>
      <c r="E199" s="1"/>
      <c r="F199" s="1"/>
    </row>
    <row r="200" spans="1:6" ht="12.75">
      <c r="A200" s="1"/>
      <c r="B200" s="1"/>
      <c r="C200" s="8"/>
      <c r="D200" s="1"/>
      <c r="E200" s="1"/>
      <c r="F200" s="1"/>
    </row>
    <row r="201" spans="1:6" ht="12.75">
      <c r="A201" s="1"/>
      <c r="B201" s="1"/>
      <c r="C201" s="8"/>
      <c r="D201" s="1"/>
      <c r="E201" s="1"/>
      <c r="F201" s="1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N32"/>
  <sheetViews>
    <sheetView workbookViewId="0">
      <selection activeCell="B25" sqref="B25:B28"/>
    </sheetView>
  </sheetViews>
  <sheetFormatPr defaultColWidth="12.5703125" defaultRowHeight="15.75" customHeight="1"/>
  <cols>
    <col min="3" max="3" width="21.140625" bestFit="1" customWidth="1"/>
    <col min="4" max="4" width="12.42578125" bestFit="1" customWidth="1"/>
    <col min="5" max="6" width="8.42578125" bestFit="1" customWidth="1"/>
    <col min="7" max="7" width="13.28515625" bestFit="1" customWidth="1"/>
    <col min="8" max="8" width="8.7109375" bestFit="1" customWidth="1"/>
    <col min="9" max="12" width="13.7109375" bestFit="1" customWidth="1"/>
    <col min="13" max="13" width="21.140625" bestFit="1" customWidth="1"/>
    <col min="14" max="14" width="12" bestFit="1" customWidth="1"/>
    <col min="15" max="15" width="21.140625" bestFit="1" customWidth="1"/>
    <col min="16" max="16" width="8.7109375" bestFit="1" customWidth="1"/>
    <col min="17" max="17" width="13.28515625" bestFit="1" customWidth="1"/>
    <col min="18" max="19" width="8.42578125" bestFit="1" customWidth="1"/>
    <col min="20" max="20" width="12.42578125" bestFit="1" customWidth="1"/>
    <col min="21" max="22" width="13.7109375" bestFit="1" customWidth="1"/>
    <col min="23" max="23" width="21.140625" bestFit="1" customWidth="1"/>
    <col min="24" max="26" width="13.7109375" bestFit="1" customWidth="1"/>
    <col min="27" max="27" width="12.42578125" bestFit="1" customWidth="1"/>
    <col min="28" max="28" width="9.5703125" bestFit="1" customWidth="1"/>
    <col min="29" max="29" width="21.140625" bestFit="1" customWidth="1"/>
    <col min="30" max="31" width="9.5703125" bestFit="1" customWidth="1"/>
    <col min="32" max="32" width="13.28515625" bestFit="1" customWidth="1"/>
    <col min="33" max="33" width="13.7109375" bestFit="1" customWidth="1"/>
    <col min="34" max="34" width="7.5703125" bestFit="1" customWidth="1"/>
    <col min="35" max="35" width="21.140625" bestFit="1" customWidth="1"/>
    <col min="36" max="36" width="7.5703125" bestFit="1" customWidth="1"/>
    <col min="37" max="38" width="13.7109375" bestFit="1" customWidth="1"/>
    <col min="39" max="39" width="8.7109375" bestFit="1" customWidth="1"/>
    <col min="40" max="40" width="13.28515625" bestFit="1" customWidth="1"/>
    <col min="41" max="41" width="12.42578125" bestFit="1" customWidth="1"/>
    <col min="42" max="43" width="8.42578125" bestFit="1" customWidth="1"/>
    <col min="44" max="44" width="21.140625" bestFit="1" customWidth="1"/>
    <col min="45" max="45" width="13.7109375" bestFit="1" customWidth="1"/>
    <col min="46" max="46" width="21.140625" bestFit="1" customWidth="1"/>
    <col min="47" max="48" width="13.7109375" bestFit="1" customWidth="1"/>
    <col min="49" max="49" width="13.7109375" customWidth="1"/>
    <col min="50" max="50" width="13.7109375" bestFit="1" customWidth="1"/>
    <col min="51" max="51" width="8.42578125" bestFit="1" customWidth="1"/>
    <col min="52" max="52" width="8.7109375" bestFit="1" customWidth="1"/>
    <col min="53" max="53" width="12.42578125" bestFit="1" customWidth="1"/>
    <col min="54" max="54" width="21.140625" bestFit="1" customWidth="1"/>
    <col min="55" max="55" width="13.28515625" bestFit="1" customWidth="1"/>
    <col min="56" max="56" width="8.42578125" bestFit="1" customWidth="1"/>
    <col min="57" max="57" width="12.42578125" bestFit="1" customWidth="1"/>
    <col min="58" max="58" width="15.42578125" bestFit="1" customWidth="1"/>
    <col min="59" max="59" width="17.28515625" bestFit="1" customWidth="1"/>
    <col min="60" max="60" width="15.42578125" bestFit="1" customWidth="1"/>
    <col min="61" max="61" width="21.140625" bestFit="1" customWidth="1"/>
    <col min="62" max="63" width="15.42578125" bestFit="1" customWidth="1"/>
    <col min="64" max="64" width="17.28515625" bestFit="1" customWidth="1"/>
    <col min="65" max="65" width="21.140625" bestFit="1" customWidth="1"/>
    <col min="66" max="66" width="17.28515625" bestFit="1" customWidth="1"/>
    <col min="67" max="68" width="15.42578125" bestFit="1" customWidth="1"/>
    <col min="69" max="69" width="17.28515625" bestFit="1" customWidth="1"/>
    <col min="70" max="71" width="15.42578125" bestFit="1" customWidth="1"/>
    <col min="72" max="72" width="17.28515625" bestFit="1" customWidth="1"/>
    <col min="73" max="73" width="21.140625" bestFit="1" customWidth="1"/>
    <col min="74" max="74" width="15.42578125" bestFit="1" customWidth="1"/>
    <col min="75" max="75" width="17.28515625" bestFit="1" customWidth="1"/>
    <col min="76" max="76" width="15.42578125" bestFit="1" customWidth="1"/>
    <col min="77" max="77" width="17.28515625" bestFit="1" customWidth="1"/>
    <col min="78" max="78" width="21.140625" bestFit="1" customWidth="1"/>
    <col min="79" max="82" width="17.28515625" bestFit="1" customWidth="1"/>
    <col min="83" max="83" width="15.42578125" bestFit="1" customWidth="1"/>
    <col min="84" max="84" width="17.28515625" bestFit="1" customWidth="1"/>
    <col min="85" max="85" width="21.140625" bestFit="1" customWidth="1"/>
    <col min="86" max="86" width="15.42578125" bestFit="1" customWidth="1"/>
    <col min="87" max="88" width="17.28515625" bestFit="1" customWidth="1"/>
    <col min="89" max="91" width="15.42578125" bestFit="1" customWidth="1"/>
    <col min="92" max="92" width="21.140625" bestFit="1" customWidth="1"/>
  </cols>
  <sheetData>
    <row r="1" spans="1:92" ht="15.75" customHeight="1" thickTop="1" thickBot="1">
      <c r="A1" s="1"/>
      <c r="B1" s="1"/>
      <c r="C1" s="20" t="s">
        <v>0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 t="s">
        <v>1</v>
      </c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0" t="s">
        <v>2</v>
      </c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1" t="s">
        <v>3</v>
      </c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0" t="s">
        <v>4</v>
      </c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</row>
    <row r="2" spans="1:92" ht="16.5" thickTop="1" thickBot="1">
      <c r="A2" s="1"/>
      <c r="B2" s="1"/>
      <c r="C2" s="20" t="s">
        <v>5</v>
      </c>
      <c r="D2" s="20"/>
      <c r="E2" s="20"/>
      <c r="F2" s="20"/>
      <c r="G2" s="20"/>
      <c r="H2" s="20"/>
      <c r="I2" s="21" t="s">
        <v>6</v>
      </c>
      <c r="J2" s="21"/>
      <c r="K2" s="21"/>
      <c r="L2" s="21"/>
      <c r="M2" s="21"/>
      <c r="N2" s="21"/>
      <c r="O2" s="20" t="s">
        <v>7</v>
      </c>
      <c r="P2" s="20"/>
      <c r="Q2" s="20"/>
      <c r="R2" s="20"/>
      <c r="S2" s="20"/>
      <c r="T2" s="20"/>
      <c r="U2" s="21" t="s">
        <v>7</v>
      </c>
      <c r="V2" s="21"/>
      <c r="W2" s="21"/>
      <c r="X2" s="21"/>
      <c r="Y2" s="21"/>
      <c r="Z2" s="21"/>
      <c r="AA2" s="20" t="s">
        <v>6</v>
      </c>
      <c r="AB2" s="20"/>
      <c r="AC2" s="20"/>
      <c r="AD2" s="20"/>
      <c r="AE2" s="20"/>
      <c r="AF2" s="20"/>
      <c r="AG2" s="21" t="s">
        <v>5</v>
      </c>
      <c r="AH2" s="21"/>
      <c r="AI2" s="21"/>
      <c r="AJ2" s="21"/>
      <c r="AK2" s="21"/>
      <c r="AL2" s="21"/>
      <c r="AM2" s="20" t="s">
        <v>5</v>
      </c>
      <c r="AN2" s="20"/>
      <c r="AO2" s="20"/>
      <c r="AP2" s="20"/>
      <c r="AQ2" s="20"/>
      <c r="AR2" s="20"/>
      <c r="AS2" s="21" t="s">
        <v>6</v>
      </c>
      <c r="AT2" s="21"/>
      <c r="AU2" s="21"/>
      <c r="AV2" s="21"/>
      <c r="AW2" s="21"/>
      <c r="AX2" s="21"/>
      <c r="AY2" s="20" t="s">
        <v>7</v>
      </c>
      <c r="AZ2" s="20"/>
      <c r="BA2" s="20"/>
      <c r="BB2" s="20"/>
      <c r="BC2" s="20"/>
      <c r="BD2" s="20"/>
      <c r="BE2" s="21" t="s">
        <v>5</v>
      </c>
      <c r="BF2" s="21"/>
      <c r="BG2" s="21"/>
      <c r="BH2" s="21"/>
      <c r="BI2" s="21"/>
      <c r="BJ2" s="21"/>
      <c r="BK2" s="20" t="s">
        <v>6</v>
      </c>
      <c r="BL2" s="20"/>
      <c r="BM2" s="20"/>
      <c r="BN2" s="20"/>
      <c r="BO2" s="20"/>
      <c r="BP2" s="20"/>
      <c r="BQ2" s="21" t="s">
        <v>7</v>
      </c>
      <c r="BR2" s="21"/>
      <c r="BS2" s="21"/>
      <c r="BT2" s="21"/>
      <c r="BU2" s="21"/>
      <c r="BV2" s="21"/>
      <c r="BW2" s="20" t="s">
        <v>5</v>
      </c>
      <c r="BX2" s="20"/>
      <c r="BY2" s="20"/>
      <c r="BZ2" s="20"/>
      <c r="CA2" s="20"/>
      <c r="CB2" s="20"/>
      <c r="CC2" s="21" t="s">
        <v>7</v>
      </c>
      <c r="CD2" s="21"/>
      <c r="CE2" s="21"/>
      <c r="CF2" s="21"/>
      <c r="CG2" s="21"/>
      <c r="CH2" s="21"/>
      <c r="CI2" s="20" t="s">
        <v>6</v>
      </c>
      <c r="CJ2" s="20"/>
      <c r="CK2" s="20"/>
      <c r="CL2" s="20"/>
      <c r="CM2" s="20"/>
      <c r="CN2" s="20"/>
    </row>
    <row r="3" spans="1:92" ht="16.5" thickTop="1" thickBot="1">
      <c r="A3" s="1"/>
      <c r="B3" s="1"/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11" t="s">
        <v>9</v>
      </c>
      <c r="J3" s="11" t="s">
        <v>10</v>
      </c>
      <c r="K3" s="11" t="s">
        <v>12</v>
      </c>
      <c r="L3" s="11" t="s">
        <v>13</v>
      </c>
      <c r="M3" s="11" t="s">
        <v>8</v>
      </c>
      <c r="N3" s="11" t="s">
        <v>11</v>
      </c>
      <c r="O3" s="9" t="s">
        <v>8</v>
      </c>
      <c r="P3" s="9" t="s">
        <v>13</v>
      </c>
      <c r="Q3" s="9" t="s">
        <v>12</v>
      </c>
      <c r="R3" s="9" t="s">
        <v>11</v>
      </c>
      <c r="S3" s="9" t="s">
        <v>10</v>
      </c>
      <c r="T3" s="9" t="s">
        <v>9</v>
      </c>
      <c r="U3" s="11" t="s">
        <v>9</v>
      </c>
      <c r="V3" s="11" t="s">
        <v>10</v>
      </c>
      <c r="W3" s="11" t="s">
        <v>8</v>
      </c>
      <c r="X3" s="11" t="s">
        <v>13</v>
      </c>
      <c r="Y3" s="11" t="s">
        <v>11</v>
      </c>
      <c r="Z3" s="11" t="s">
        <v>12</v>
      </c>
      <c r="AA3" s="9" t="s">
        <v>9</v>
      </c>
      <c r="AB3" s="9" t="s">
        <v>13</v>
      </c>
      <c r="AC3" s="9" t="s">
        <v>8</v>
      </c>
      <c r="AD3" s="9" t="s">
        <v>11</v>
      </c>
      <c r="AE3" s="9" t="s">
        <v>10</v>
      </c>
      <c r="AF3" s="9" t="s">
        <v>12</v>
      </c>
      <c r="AG3" s="11" t="s">
        <v>9</v>
      </c>
      <c r="AH3" s="11" t="s">
        <v>10</v>
      </c>
      <c r="AI3" s="11" t="s">
        <v>8</v>
      </c>
      <c r="AJ3" s="11" t="s">
        <v>11</v>
      </c>
      <c r="AK3" s="11" t="s">
        <v>13</v>
      </c>
      <c r="AL3" s="11" t="s">
        <v>12</v>
      </c>
      <c r="AM3" s="9" t="s">
        <v>13</v>
      </c>
      <c r="AN3" s="9" t="s">
        <v>12</v>
      </c>
      <c r="AO3" s="9" t="s">
        <v>9</v>
      </c>
      <c r="AP3" s="9" t="s">
        <v>11</v>
      </c>
      <c r="AQ3" s="9" t="s">
        <v>10</v>
      </c>
      <c r="AR3" s="9" t="s">
        <v>8</v>
      </c>
      <c r="AS3" s="11" t="s">
        <v>9</v>
      </c>
      <c r="AT3" s="11" t="s">
        <v>8</v>
      </c>
      <c r="AU3" s="11" t="s">
        <v>13</v>
      </c>
      <c r="AV3" s="11" t="s">
        <v>12</v>
      </c>
      <c r="AW3" s="11" t="s">
        <v>10</v>
      </c>
      <c r="AX3" s="11" t="s">
        <v>11</v>
      </c>
      <c r="AY3" s="9" t="s">
        <v>11</v>
      </c>
      <c r="AZ3" s="9" t="s">
        <v>13</v>
      </c>
      <c r="BA3" s="9" t="s">
        <v>9</v>
      </c>
      <c r="BB3" s="9" t="s">
        <v>8</v>
      </c>
      <c r="BC3" s="9" t="s">
        <v>12</v>
      </c>
      <c r="BD3" s="9" t="s">
        <v>10</v>
      </c>
      <c r="BE3" s="11" t="s">
        <v>9</v>
      </c>
      <c r="BF3" s="11" t="s">
        <v>10</v>
      </c>
      <c r="BG3" s="11" t="s">
        <v>11</v>
      </c>
      <c r="BH3" s="11" t="s">
        <v>12</v>
      </c>
      <c r="BI3" s="11" t="s">
        <v>8</v>
      </c>
      <c r="BJ3" s="11" t="s">
        <v>13</v>
      </c>
      <c r="BK3" s="9" t="s">
        <v>10</v>
      </c>
      <c r="BL3" s="9" t="s">
        <v>12</v>
      </c>
      <c r="BM3" s="9" t="s">
        <v>8</v>
      </c>
      <c r="BN3" s="9" t="s">
        <v>9</v>
      </c>
      <c r="BO3" s="9" t="s">
        <v>11</v>
      </c>
      <c r="BP3" s="9" t="s">
        <v>13</v>
      </c>
      <c r="BQ3" s="11" t="s">
        <v>9</v>
      </c>
      <c r="BR3" s="11" t="s">
        <v>10</v>
      </c>
      <c r="BS3" s="11" t="s">
        <v>11</v>
      </c>
      <c r="BT3" s="11" t="s">
        <v>12</v>
      </c>
      <c r="BU3" s="11" t="s">
        <v>8</v>
      </c>
      <c r="BV3" s="11" t="s">
        <v>13</v>
      </c>
      <c r="BW3" s="9" t="s">
        <v>13</v>
      </c>
      <c r="BX3" s="9" t="s">
        <v>12</v>
      </c>
      <c r="BY3" s="9" t="s">
        <v>10</v>
      </c>
      <c r="BZ3" s="9" t="s">
        <v>8</v>
      </c>
      <c r="CA3" s="9" t="s">
        <v>11</v>
      </c>
      <c r="CB3" s="9" t="s">
        <v>9</v>
      </c>
      <c r="CC3" s="11" t="s">
        <v>10</v>
      </c>
      <c r="CD3" s="11" t="s">
        <v>11</v>
      </c>
      <c r="CE3" s="11" t="s">
        <v>9</v>
      </c>
      <c r="CF3" s="11" t="s">
        <v>13</v>
      </c>
      <c r="CG3" s="11" t="s">
        <v>8</v>
      </c>
      <c r="CH3" s="11" t="s">
        <v>12</v>
      </c>
      <c r="CI3" s="9" t="s">
        <v>12</v>
      </c>
      <c r="CJ3" s="9" t="s">
        <v>11</v>
      </c>
      <c r="CK3" s="9" t="s">
        <v>10</v>
      </c>
      <c r="CL3" s="9" t="s">
        <v>13</v>
      </c>
      <c r="CM3" s="9" t="s">
        <v>9</v>
      </c>
      <c r="CN3" s="9" t="s">
        <v>8</v>
      </c>
    </row>
    <row r="4" spans="1:92" ht="16.5" thickTop="1" thickBot="1">
      <c r="A4" s="1"/>
      <c r="C4" s="10">
        <v>0.64666666686534802</v>
      </c>
      <c r="D4" s="10">
        <v>0.80333333313465105</v>
      </c>
      <c r="E4" s="10">
        <v>0.58666666646798404</v>
      </c>
      <c r="F4" s="10">
        <v>0.96999999980131701</v>
      </c>
      <c r="G4" s="10">
        <v>0.47333333293596902</v>
      </c>
      <c r="H4" s="10">
        <v>0.87666666706403096</v>
      </c>
      <c r="I4" s="11">
        <v>47.463333333531999</v>
      </c>
      <c r="J4" s="11">
        <v>40.469999999801303</v>
      </c>
      <c r="K4" s="11">
        <v>48.5833333333333</v>
      </c>
      <c r="L4" s="11">
        <v>42.740000000595998</v>
      </c>
      <c r="M4" s="11">
        <v>43.859999999403897</v>
      </c>
      <c r="N4" s="11">
        <v>55.783333333333303</v>
      </c>
      <c r="O4" s="10">
        <v>2.0466666668653399</v>
      </c>
      <c r="P4" s="10">
        <v>1.92666666607062</v>
      </c>
      <c r="Q4" s="10">
        <v>2.4800000001986802</v>
      </c>
      <c r="R4" s="10">
        <v>3.3200000007947201</v>
      </c>
      <c r="S4" s="10">
        <v>1.7766666670640301</v>
      </c>
      <c r="T4" s="10">
        <v>2.4233333339293699</v>
      </c>
      <c r="U4" s="11">
        <v>0.90666666626930204</v>
      </c>
      <c r="V4" s="11">
        <v>0.76666666666666605</v>
      </c>
      <c r="W4" s="11">
        <v>0.81333333353201498</v>
      </c>
      <c r="X4" s="11">
        <v>0.64666666686534802</v>
      </c>
      <c r="Y4" s="11">
        <v>1.57333333094914</v>
      </c>
      <c r="Z4" s="11">
        <v>0.75999999940395302</v>
      </c>
      <c r="AA4" s="10">
        <v>15.236666666467899</v>
      </c>
      <c r="AB4" s="10">
        <v>10.55</v>
      </c>
      <c r="AC4" s="10">
        <v>13.316666666666601</v>
      </c>
      <c r="AD4" s="10">
        <v>17.326666667064</v>
      </c>
      <c r="AE4" s="10">
        <v>13.3466666668653</v>
      </c>
      <c r="AF4" s="10">
        <v>13.31666666766</v>
      </c>
      <c r="AG4" s="11">
        <v>1.6666666666666601E-2</v>
      </c>
      <c r="AH4" s="11">
        <v>6.3333333532015396E-2</v>
      </c>
      <c r="AI4" s="11">
        <v>1.33333335320154E-2</v>
      </c>
      <c r="AJ4" s="11">
        <v>3.0000000198682101E-2</v>
      </c>
      <c r="AK4" s="11">
        <v>1.9999999801317801E-2</v>
      </c>
      <c r="AL4" s="11">
        <v>3.3333333333333298E-2</v>
      </c>
      <c r="AM4" s="10">
        <v>0.74333333373069699</v>
      </c>
      <c r="AN4" s="10">
        <v>0.56333333353201498</v>
      </c>
      <c r="AO4" s="10">
        <v>0.63333333333333297</v>
      </c>
      <c r="AP4" s="10">
        <v>0.74333333273728597</v>
      </c>
      <c r="AQ4" s="10">
        <v>0.56333333353201498</v>
      </c>
      <c r="AR4" s="10">
        <v>0.76000000039736404</v>
      </c>
      <c r="AS4" s="11">
        <v>47.8333333333333</v>
      </c>
      <c r="AT4" s="11">
        <v>44.666666667660003</v>
      </c>
      <c r="AU4" s="11">
        <v>39.713333333531999</v>
      </c>
      <c r="AV4" s="11">
        <v>54.976666666070599</v>
      </c>
      <c r="AW4" s="11">
        <v>34.130344344026902</v>
      </c>
      <c r="AX4" s="11">
        <v>57.160000000397297</v>
      </c>
      <c r="AY4" s="10">
        <v>3.7899999996026299</v>
      </c>
      <c r="AZ4" s="10">
        <v>1.9899999996026301</v>
      </c>
      <c r="BA4" s="10">
        <v>1.91333333353201</v>
      </c>
      <c r="BB4" s="10">
        <v>1.9833333333333301</v>
      </c>
      <c r="BC4" s="10">
        <v>2.2100000003973599</v>
      </c>
      <c r="BD4" s="10">
        <v>1.6299999992052701</v>
      </c>
      <c r="BE4" s="12">
        <v>537.81666666666604</v>
      </c>
      <c r="BF4" s="13">
        <v>396.35333333214101</v>
      </c>
      <c r="BG4" s="13">
        <v>713.43999999960204</v>
      </c>
      <c r="BH4" s="13">
        <v>389.98999999960199</v>
      </c>
      <c r="BI4" s="13">
        <v>372.02333333194201</v>
      </c>
      <c r="BJ4" s="13">
        <v>241.119999999801</v>
      </c>
      <c r="BK4" s="14">
        <v>472.433333333333</v>
      </c>
      <c r="BL4" s="14">
        <v>439.45333333412799</v>
      </c>
      <c r="BM4" s="14">
        <v>454.08666666746097</v>
      </c>
      <c r="BN4" s="14">
        <v>630.20333333313397</v>
      </c>
      <c r="BO4" s="14">
        <v>834.95999999940398</v>
      </c>
      <c r="BP4" s="14">
        <v>291.230000000198</v>
      </c>
      <c r="BQ4" s="13">
        <v>553.45000000000005</v>
      </c>
      <c r="BR4" s="13">
        <v>402.70666666726203</v>
      </c>
      <c r="BS4" s="13">
        <v>722.82000000079404</v>
      </c>
      <c r="BT4" s="13">
        <v>1846.84333333373</v>
      </c>
      <c r="BU4" s="13">
        <v>371.88000000019798</v>
      </c>
      <c r="BV4" s="13">
        <v>248.03666666646799</v>
      </c>
      <c r="BW4" s="14">
        <v>266.59333333273702</v>
      </c>
      <c r="BX4" s="14">
        <v>441.063333333532</v>
      </c>
      <c r="BY4" s="14">
        <v>443.11000000039701</v>
      </c>
      <c r="BZ4" s="14">
        <v>412.52000000079403</v>
      </c>
      <c r="CA4" s="14">
        <v>792.48333333233995</v>
      </c>
      <c r="CB4" s="14">
        <v>604.11333333452501</v>
      </c>
      <c r="CC4" s="13">
        <v>1976.8733333329301</v>
      </c>
      <c r="CD4" s="13">
        <v>804.4</v>
      </c>
      <c r="CE4" s="13">
        <v>537.186666666468</v>
      </c>
      <c r="CF4" s="13">
        <v>245.73333333333301</v>
      </c>
      <c r="CG4" s="13">
        <v>373.65333333313401</v>
      </c>
      <c r="CH4" s="13">
        <v>392.596666665871</v>
      </c>
      <c r="CI4" s="14">
        <v>473.45</v>
      </c>
      <c r="CJ4" s="14">
        <v>844.29333333372995</v>
      </c>
      <c r="CK4" s="14">
        <v>488.11999999880697</v>
      </c>
      <c r="CL4" s="14">
        <v>302.81999999980098</v>
      </c>
      <c r="CM4" s="14">
        <v>644.80666666726199</v>
      </c>
      <c r="CN4" s="14">
        <v>462.996666666865</v>
      </c>
    </row>
    <row r="5" spans="1:92" ht="16.5" thickTop="1" thickBot="1">
      <c r="A5" s="1"/>
      <c r="B5" s="1"/>
      <c r="C5" s="10">
        <v>0.58999999960263505</v>
      </c>
      <c r="D5" s="10">
        <v>0.82333333392937902</v>
      </c>
      <c r="E5" s="10">
        <v>0.64333333273728599</v>
      </c>
      <c r="F5" s="10">
        <v>1.2899999996026299</v>
      </c>
      <c r="G5" s="10">
        <v>0.78333333333333299</v>
      </c>
      <c r="H5" s="10">
        <v>0.58999999960263505</v>
      </c>
      <c r="I5" s="11">
        <v>47.416666667660003</v>
      </c>
      <c r="J5" s="11">
        <v>40.719999999801303</v>
      </c>
      <c r="K5" s="11">
        <v>48.6866666664679</v>
      </c>
      <c r="L5" s="11">
        <v>42.843333333730698</v>
      </c>
      <c r="M5" s="11">
        <v>43.760000000397298</v>
      </c>
      <c r="N5" s="11">
        <v>56.280000000198598</v>
      </c>
      <c r="O5" s="10">
        <v>2.5199999988078998</v>
      </c>
      <c r="P5" s="10">
        <v>2.2700000007947199</v>
      </c>
      <c r="Q5" s="10">
        <v>2.2633333335320098</v>
      </c>
      <c r="R5" s="10">
        <v>2.9566666672627102</v>
      </c>
      <c r="S5" s="10">
        <v>1.72000000079472</v>
      </c>
      <c r="T5" s="10">
        <v>2.24333333373069</v>
      </c>
      <c r="U5" s="11">
        <v>0.96999999980131701</v>
      </c>
      <c r="V5" s="11">
        <v>0.85</v>
      </c>
      <c r="W5" s="11">
        <v>0.74666666686534799</v>
      </c>
      <c r="X5" s="11">
        <v>0.70999999940395297</v>
      </c>
      <c r="Y5" s="11">
        <v>1.12333333293596</v>
      </c>
      <c r="Z5" s="11">
        <v>0.82666666706403003</v>
      </c>
      <c r="AA5" s="10">
        <v>15.2533333331346</v>
      </c>
      <c r="AB5" s="10">
        <v>10.436666667461299</v>
      </c>
      <c r="AC5" s="10">
        <v>13.5600000003973</v>
      </c>
      <c r="AD5" s="10">
        <v>17.186666667461299</v>
      </c>
      <c r="AE5" s="10">
        <v>13.316666666666601</v>
      </c>
      <c r="AF5" s="10">
        <v>13.3966666668653</v>
      </c>
      <c r="AG5" s="11">
        <v>1.9999999801317801E-2</v>
      </c>
      <c r="AH5" s="11">
        <v>3.6666665474573701E-2</v>
      </c>
      <c r="AI5" s="11">
        <v>1.9999999801317801E-2</v>
      </c>
      <c r="AJ5" s="11">
        <v>3.3333333333333298E-2</v>
      </c>
      <c r="AK5" s="11">
        <v>2.6666666070620199E-2</v>
      </c>
      <c r="AL5" s="11">
        <v>1.9999999801317801E-2</v>
      </c>
      <c r="AM5" s="10">
        <v>0.50999999940395302</v>
      </c>
      <c r="AN5" s="10">
        <v>0.62666666706403096</v>
      </c>
      <c r="AO5" s="10">
        <v>0.94333333273728603</v>
      </c>
      <c r="AP5" s="10">
        <v>0.76666666666666605</v>
      </c>
      <c r="AQ5" s="10">
        <v>0.60333333313465098</v>
      </c>
      <c r="AR5" s="10">
        <v>0.56333333353201498</v>
      </c>
      <c r="AS5" s="11">
        <v>51.546666667858702</v>
      </c>
      <c r="AT5" s="11">
        <v>44.406666666269302</v>
      </c>
      <c r="AU5" s="11">
        <v>39.873333333929303</v>
      </c>
      <c r="AV5" s="11">
        <v>55.6233333329359</v>
      </c>
      <c r="AW5" s="11">
        <v>34.132088659746806</v>
      </c>
      <c r="AX5" s="11">
        <v>55.183333333333302</v>
      </c>
      <c r="AY5" s="10">
        <v>2.9966666668653401</v>
      </c>
      <c r="AZ5" s="10">
        <v>1.9733333339293699</v>
      </c>
      <c r="BA5" s="10">
        <v>1.89666666587193</v>
      </c>
      <c r="BB5" s="10">
        <v>1.9966666668653399</v>
      </c>
      <c r="BC5" s="10">
        <v>2.86666666666666</v>
      </c>
      <c r="BD5" s="10">
        <v>1.6866666674613899</v>
      </c>
      <c r="BE5" s="12">
        <v>535.91000000039696</v>
      </c>
      <c r="BF5" s="13">
        <v>395.06999999980098</v>
      </c>
      <c r="BG5" s="13">
        <v>3349.9866666664602</v>
      </c>
      <c r="BH5" s="13">
        <v>391.09666666686502</v>
      </c>
      <c r="BI5" s="13">
        <v>375.01000000039699</v>
      </c>
      <c r="BJ5" s="13">
        <v>241.603333334128</v>
      </c>
      <c r="BK5" s="14">
        <v>483.20000000099299</v>
      </c>
      <c r="BL5" s="14">
        <v>475.21000000039697</v>
      </c>
      <c r="BM5" s="14">
        <v>454.57666666706399</v>
      </c>
      <c r="BN5" s="14">
        <v>630.97000000079402</v>
      </c>
      <c r="BO5" s="14">
        <v>837.48333333333301</v>
      </c>
      <c r="BP5" s="14">
        <v>291.060000000397</v>
      </c>
      <c r="BQ5" s="13">
        <v>547.64333333372997</v>
      </c>
      <c r="BR5" s="13">
        <v>402.88666666746099</v>
      </c>
      <c r="BS5" s="13">
        <v>700.6</v>
      </c>
      <c r="BT5" s="13">
        <v>1842.85</v>
      </c>
      <c r="BU5" s="13">
        <v>372.97333333392902</v>
      </c>
      <c r="BV5" s="13">
        <v>247.69333333373001</v>
      </c>
      <c r="BW5" s="14">
        <v>1168.0399999996</v>
      </c>
      <c r="BX5" s="14">
        <v>440.56666666666598</v>
      </c>
      <c r="BY5" s="14">
        <v>440.45666666626897</v>
      </c>
      <c r="BZ5" s="14">
        <v>409.17333333293499</v>
      </c>
      <c r="CA5" s="14">
        <v>781.71999999980096</v>
      </c>
      <c r="CB5" s="14">
        <v>595.876666667064</v>
      </c>
      <c r="CC5" s="13">
        <v>1983.15666666726</v>
      </c>
      <c r="CD5" s="13">
        <v>808.66333333353202</v>
      </c>
      <c r="CE5" s="13">
        <v>540.86000000039701</v>
      </c>
      <c r="CF5" s="13">
        <v>1171.61666666567</v>
      </c>
      <c r="CG5" s="13">
        <v>376.186666666468</v>
      </c>
      <c r="CH5" s="13">
        <v>392.353333333134</v>
      </c>
      <c r="CI5" s="14">
        <v>482.806666666269</v>
      </c>
      <c r="CJ5" s="14">
        <v>841.56999999980098</v>
      </c>
      <c r="CK5" s="14">
        <v>505.13333333333298</v>
      </c>
      <c r="CL5" s="14">
        <v>301.5</v>
      </c>
      <c r="CM5" s="14">
        <v>644.57333333293502</v>
      </c>
      <c r="CN5" s="14">
        <v>463.00999999940302</v>
      </c>
    </row>
    <row r="6" spans="1:92" ht="16.5" thickTop="1" thickBot="1">
      <c r="A6" s="1"/>
      <c r="B6" s="1"/>
      <c r="C6" s="10">
        <v>0.66333333353201496</v>
      </c>
      <c r="D6" s="10">
        <v>0.99333333273728597</v>
      </c>
      <c r="E6" s="10">
        <v>0.75666666726271303</v>
      </c>
      <c r="F6" s="10">
        <v>1.1266666660706199</v>
      </c>
      <c r="G6" s="10">
        <v>0.66333333353201496</v>
      </c>
      <c r="H6" s="10">
        <v>0.88000000019868196</v>
      </c>
      <c r="I6" s="11">
        <v>47.366666666666603</v>
      </c>
      <c r="J6" s="11">
        <v>40.413333333532002</v>
      </c>
      <c r="K6" s="11">
        <v>48.756666666269297</v>
      </c>
      <c r="L6" s="11">
        <v>41.1233333329359</v>
      </c>
      <c r="M6" s="11">
        <v>43.806666667262697</v>
      </c>
      <c r="N6" s="11">
        <v>56.353333334128003</v>
      </c>
      <c r="O6" s="10">
        <v>2.2266666660706198</v>
      </c>
      <c r="P6" s="10">
        <v>2.1133333335320099</v>
      </c>
      <c r="Q6" s="10">
        <v>2.2633333335320098</v>
      </c>
      <c r="R6" s="10">
        <v>3.11666666666666</v>
      </c>
      <c r="S6" s="10">
        <v>1.8133333335320101</v>
      </c>
      <c r="T6" s="10">
        <v>2.0800000001986798</v>
      </c>
      <c r="U6" s="11">
        <v>0.98000000019868205</v>
      </c>
      <c r="V6" s="11">
        <v>0.85333333313465098</v>
      </c>
      <c r="W6" s="11">
        <v>0.75333333313465101</v>
      </c>
      <c r="X6" s="11">
        <v>0.63333333333333297</v>
      </c>
      <c r="Y6" s="11">
        <v>1.0266666660706201</v>
      </c>
      <c r="Z6" s="11">
        <v>0.80666666626930195</v>
      </c>
      <c r="AA6" s="10">
        <v>15.2233333329359</v>
      </c>
      <c r="AB6" s="10">
        <v>10.476666667064</v>
      </c>
      <c r="AC6" s="10">
        <v>13.126666667064001</v>
      </c>
      <c r="AD6" s="10">
        <v>17.459999999403902</v>
      </c>
      <c r="AE6" s="10">
        <v>13.303333333134599</v>
      </c>
      <c r="AF6" s="10">
        <v>13.393333331743801</v>
      </c>
      <c r="AG6" s="11">
        <v>1.9999999801317801E-2</v>
      </c>
      <c r="AH6" s="11">
        <v>4.3333333730697601E-2</v>
      </c>
      <c r="AI6" s="11">
        <v>2.66666670640309E-2</v>
      </c>
      <c r="AJ6" s="11">
        <v>3.99999996026357E-2</v>
      </c>
      <c r="AK6" s="11">
        <v>3.66666674613952E-2</v>
      </c>
      <c r="AL6" s="11">
        <v>2.66666670640309E-2</v>
      </c>
      <c r="AM6" s="10">
        <v>0.59666666487852704</v>
      </c>
      <c r="AN6" s="10">
        <v>0.57666666607062</v>
      </c>
      <c r="AO6" s="10">
        <v>0.69000000059604605</v>
      </c>
      <c r="AP6" s="10">
        <v>0.77666666607061996</v>
      </c>
      <c r="AQ6" s="10">
        <v>0.73000000019868205</v>
      </c>
      <c r="AR6" s="10">
        <v>0.59666666686534797</v>
      </c>
      <c r="AS6" s="11">
        <v>49.35</v>
      </c>
      <c r="AT6" s="11">
        <v>44.419999999801298</v>
      </c>
      <c r="AU6" s="11">
        <v>40.746666666865302</v>
      </c>
      <c r="AV6" s="11">
        <v>50.803333333134603</v>
      </c>
      <c r="AW6" s="11">
        <v>40.134042847683354</v>
      </c>
      <c r="AX6" s="11">
        <v>55.1033333331346</v>
      </c>
      <c r="AY6" s="10">
        <v>2.1733333319425499</v>
      </c>
      <c r="AZ6" s="10">
        <v>1.96333333353201</v>
      </c>
      <c r="BA6" s="10">
        <v>2.2199999998013098</v>
      </c>
      <c r="BB6" s="10">
        <v>2.0899999996026302</v>
      </c>
      <c r="BC6" s="10">
        <v>2.39666666686534</v>
      </c>
      <c r="BD6" s="10">
        <v>1.85333333412806</v>
      </c>
      <c r="BE6" s="12">
        <v>540.29666666686501</v>
      </c>
      <c r="BF6" s="13">
        <v>395.420000000794</v>
      </c>
      <c r="BG6" s="13">
        <v>689.84000000059598</v>
      </c>
      <c r="BH6" s="13">
        <v>389.183333333333</v>
      </c>
      <c r="BI6" s="13">
        <v>373.23999999960199</v>
      </c>
      <c r="BJ6" s="13">
        <v>241.48333333233899</v>
      </c>
      <c r="BK6" s="14">
        <v>472.98999999860899</v>
      </c>
      <c r="BL6" s="14">
        <v>471.62999999920498</v>
      </c>
      <c r="BM6" s="14">
        <v>451.496666666865</v>
      </c>
      <c r="BN6" s="14">
        <v>629.4</v>
      </c>
      <c r="BO6" s="14">
        <v>834.909999999403</v>
      </c>
      <c r="BP6" s="14">
        <v>291.60000000000002</v>
      </c>
      <c r="BQ6" s="13">
        <v>550.45666666726197</v>
      </c>
      <c r="BR6" s="13">
        <v>400.61000000039701</v>
      </c>
      <c r="BS6" s="13">
        <v>698.68666666746105</v>
      </c>
      <c r="BT6" s="13">
        <v>1896.67000000079</v>
      </c>
      <c r="BU6" s="13">
        <v>372.80999999940298</v>
      </c>
      <c r="BV6" s="13">
        <v>248.063333333532</v>
      </c>
      <c r="BW6" s="14">
        <v>1167.63000000019</v>
      </c>
      <c r="BX6" s="14">
        <v>444.63333333333298</v>
      </c>
      <c r="BY6" s="14">
        <v>441.12333333293498</v>
      </c>
      <c r="BZ6" s="14">
        <v>410.15666666726202</v>
      </c>
      <c r="CA6" s="14">
        <v>799.190000000596</v>
      </c>
      <c r="CB6" s="14">
        <v>610.15666666726202</v>
      </c>
      <c r="CC6" s="13">
        <v>1964.2199999997999</v>
      </c>
      <c r="CD6" s="13">
        <v>4943.3466666668601</v>
      </c>
      <c r="CE6" s="13">
        <v>633.63666666646702</v>
      </c>
      <c r="CF6" s="13">
        <v>1511.4266666670601</v>
      </c>
      <c r="CG6" s="13">
        <v>374.916666666666</v>
      </c>
      <c r="CH6" s="13">
        <v>393.55333333412801</v>
      </c>
      <c r="CI6" s="14">
        <v>484.71666666666601</v>
      </c>
      <c r="CJ6" s="14">
        <v>843.50666666626898</v>
      </c>
      <c r="CK6" s="14">
        <v>495.87999999920498</v>
      </c>
      <c r="CL6" s="14">
        <v>299.33333333233901</v>
      </c>
      <c r="CM6" s="14">
        <v>645.69666666686499</v>
      </c>
      <c r="CN6" s="14">
        <v>466.71333333353198</v>
      </c>
    </row>
    <row r="7" spans="1:92" ht="16.5" thickTop="1" thickBot="1">
      <c r="A7" s="1"/>
      <c r="B7" s="1"/>
      <c r="C7" s="10">
        <v>0.58666666646798404</v>
      </c>
      <c r="D7" s="10">
        <v>0.73999999960263496</v>
      </c>
      <c r="E7" s="10">
        <v>0.64666666686534802</v>
      </c>
      <c r="F7" s="10">
        <v>1.12333333194255</v>
      </c>
      <c r="G7" s="10">
        <v>0.90333333313465103</v>
      </c>
      <c r="H7" s="10">
        <v>0.49333333373069699</v>
      </c>
      <c r="I7" s="11">
        <v>47.346666666865303</v>
      </c>
      <c r="J7" s="11">
        <v>43.283333333333303</v>
      </c>
      <c r="K7" s="11">
        <v>48.583333334326703</v>
      </c>
      <c r="L7" s="11">
        <v>40.5833333333333</v>
      </c>
      <c r="M7" s="11">
        <v>44</v>
      </c>
      <c r="N7" s="11">
        <v>55.770000000794703</v>
      </c>
      <c r="O7" s="10">
        <v>2.0933333327372798</v>
      </c>
      <c r="P7" s="10">
        <v>2.1100000003973598</v>
      </c>
      <c r="Q7" s="10">
        <v>2.6666666666666599</v>
      </c>
      <c r="R7" s="10">
        <v>2.46333333353201</v>
      </c>
      <c r="S7" s="10">
        <v>1.82333333392937</v>
      </c>
      <c r="T7" s="10">
        <v>1.9366666664679799</v>
      </c>
      <c r="U7" s="11">
        <v>0.82333333392937902</v>
      </c>
      <c r="V7" s="11">
        <v>0.95333333412806198</v>
      </c>
      <c r="W7" s="11">
        <v>1.0266666670640301</v>
      </c>
      <c r="X7" s="11">
        <v>0.68333333233992199</v>
      </c>
      <c r="Y7" s="11">
        <v>1.1366666664679801</v>
      </c>
      <c r="Z7" s="11">
        <v>0.85333333412806101</v>
      </c>
      <c r="AA7" s="10">
        <v>15.233333333333301</v>
      </c>
      <c r="AB7" s="10">
        <v>11.186666667461299</v>
      </c>
      <c r="AC7" s="10">
        <v>13.259999999403901</v>
      </c>
      <c r="AD7" s="10">
        <v>17.156666666269299</v>
      </c>
      <c r="AE7" s="10">
        <v>15.093333332737201</v>
      </c>
      <c r="AF7" s="10">
        <v>13.3399999996026</v>
      </c>
      <c r="AG7" s="11">
        <v>2.66666670640309E-2</v>
      </c>
      <c r="AH7" s="11">
        <v>3.0000000198682101E-2</v>
      </c>
      <c r="AI7" s="11">
        <v>1.3333332538604701E-2</v>
      </c>
      <c r="AJ7" s="11">
        <v>4.6666666865348802E-2</v>
      </c>
      <c r="AK7" s="11">
        <v>2.66666670640309E-2</v>
      </c>
      <c r="AL7" s="11">
        <v>1.6666666666666601E-2</v>
      </c>
      <c r="AM7" s="10">
        <v>0.45333333313465102</v>
      </c>
      <c r="AN7" s="10">
        <v>0.673333333929379</v>
      </c>
      <c r="AO7" s="10">
        <v>0.98333333333333295</v>
      </c>
      <c r="AP7" s="10">
        <v>0.73333333333333295</v>
      </c>
      <c r="AQ7" s="10">
        <v>0.63999999960263498</v>
      </c>
      <c r="AR7" s="10">
        <v>0.55000000000000004</v>
      </c>
      <c r="AS7" s="11">
        <v>48.773333332935898</v>
      </c>
      <c r="AT7" s="11">
        <v>46.509999999403902</v>
      </c>
      <c r="AU7" s="11">
        <v>39.933333333333302</v>
      </c>
      <c r="AV7" s="11">
        <v>52.013333333532003</v>
      </c>
      <c r="AW7" s="11">
        <v>32.511848360719817</v>
      </c>
      <c r="AX7" s="11">
        <v>55.7833333323399</v>
      </c>
      <c r="AY7" s="10">
        <v>2.1400000005960398</v>
      </c>
      <c r="AZ7" s="10">
        <v>2.2333333333333298</v>
      </c>
      <c r="BA7" s="10">
        <v>1.91999999980131</v>
      </c>
      <c r="BB7" s="10">
        <v>2.1300000001986801</v>
      </c>
      <c r="BC7" s="10">
        <v>2.3199999998013099</v>
      </c>
      <c r="BD7" s="10">
        <v>1.68333333333333</v>
      </c>
      <c r="BE7" s="12">
        <v>538.99666666686505</v>
      </c>
      <c r="BF7" s="13">
        <v>394.93999999960198</v>
      </c>
      <c r="BG7" s="13">
        <v>689.99000000059596</v>
      </c>
      <c r="BH7" s="13">
        <v>391.45999999940398</v>
      </c>
      <c r="BI7" s="13">
        <v>372.22666666706402</v>
      </c>
      <c r="BJ7" s="13">
        <v>239.206666666269</v>
      </c>
      <c r="BK7" s="14">
        <v>485.11000000039701</v>
      </c>
      <c r="BL7" s="14">
        <v>470.04666666686501</v>
      </c>
      <c r="BM7" s="14">
        <v>454.54333333373</v>
      </c>
      <c r="BN7" s="14">
        <v>630.36000000039701</v>
      </c>
      <c r="BO7" s="14">
        <v>834.74333333273705</v>
      </c>
      <c r="BP7" s="14">
        <v>291.46333333353198</v>
      </c>
      <c r="BQ7" s="13">
        <v>547.36333333353195</v>
      </c>
      <c r="BR7" s="13">
        <v>403.32666666706399</v>
      </c>
      <c r="BS7" s="13">
        <v>696.376666667064</v>
      </c>
      <c r="BT7" s="13">
        <v>1847.90666666626</v>
      </c>
      <c r="BU7" s="13">
        <v>369.76000000039699</v>
      </c>
      <c r="BV7" s="13">
        <v>248.813333333532</v>
      </c>
      <c r="BW7" s="14">
        <v>1167.59333333373</v>
      </c>
      <c r="BX7" s="14">
        <v>441.30333333313399</v>
      </c>
      <c r="BY7" s="14">
        <v>442.61666666666599</v>
      </c>
      <c r="BZ7" s="14">
        <v>412.41333333353202</v>
      </c>
      <c r="CA7" s="14">
        <v>793.15</v>
      </c>
      <c r="CB7" s="14">
        <v>602.59666666686496</v>
      </c>
      <c r="CC7" s="13">
        <v>1965.2566666672601</v>
      </c>
      <c r="CD7" s="13">
        <v>3491.3733333329301</v>
      </c>
      <c r="CE7" s="13">
        <v>537.27999999920496</v>
      </c>
      <c r="CF7" s="13">
        <v>239.53000000019799</v>
      </c>
      <c r="CG7" s="13">
        <v>373.14000000059599</v>
      </c>
      <c r="CH7" s="13">
        <v>393.88666666646799</v>
      </c>
      <c r="CI7" s="14">
        <v>484.07999999920497</v>
      </c>
      <c r="CJ7" s="14">
        <v>842.11666666666599</v>
      </c>
      <c r="CK7" s="14">
        <v>496.84666666686502</v>
      </c>
      <c r="CL7" s="14">
        <v>300.73333333333301</v>
      </c>
      <c r="CM7" s="14">
        <v>643.22666666606995</v>
      </c>
      <c r="CN7" s="14">
        <v>459.849999999006</v>
      </c>
    </row>
    <row r="8" spans="1:92" ht="16.5" thickTop="1" thickBot="1">
      <c r="A8" s="1"/>
      <c r="B8" s="1"/>
      <c r="C8" s="10">
        <v>0.80666666726271297</v>
      </c>
      <c r="D8" s="10">
        <v>0.95666666626930197</v>
      </c>
      <c r="E8" s="10">
        <v>0.86000000039736402</v>
      </c>
      <c r="F8" s="10">
        <v>0.82666666706403003</v>
      </c>
      <c r="G8" s="10">
        <v>0.63666666646798398</v>
      </c>
      <c r="H8" s="10">
        <v>0.61666666666666603</v>
      </c>
      <c r="I8" s="11">
        <v>48.733333333333299</v>
      </c>
      <c r="J8" s="11">
        <v>41.423333332935897</v>
      </c>
      <c r="K8" s="11">
        <v>48.556666666269301</v>
      </c>
      <c r="L8" s="11">
        <v>44.2633333325386</v>
      </c>
      <c r="M8" s="11">
        <v>43.830000000198602</v>
      </c>
      <c r="N8" s="11">
        <v>55.596666666865303</v>
      </c>
      <c r="O8" s="10">
        <v>2.0233333329359602</v>
      </c>
      <c r="P8" s="10">
        <v>2.0133333335320098</v>
      </c>
      <c r="Q8" s="10">
        <v>2.33666666646798</v>
      </c>
      <c r="R8" s="10">
        <v>2.0266666660706201</v>
      </c>
      <c r="S8" s="10">
        <v>1.8066666672627101</v>
      </c>
      <c r="T8" s="10">
        <v>1.9666666676600699</v>
      </c>
      <c r="U8" s="11">
        <v>0.84666666686534797</v>
      </c>
      <c r="V8" s="11">
        <v>0.90666666626930204</v>
      </c>
      <c r="W8" s="11">
        <v>0.98666666646798395</v>
      </c>
      <c r="X8" s="11">
        <v>0.926666667064031</v>
      </c>
      <c r="Y8" s="11">
        <v>1.1366666664679801</v>
      </c>
      <c r="Z8" s="11">
        <v>0.74333333373069699</v>
      </c>
      <c r="AA8" s="10">
        <v>15.2800000001986</v>
      </c>
      <c r="AB8" s="10">
        <v>10.4366666664679</v>
      </c>
      <c r="AC8" s="10">
        <v>13.170000000794699</v>
      </c>
      <c r="AD8" s="10">
        <v>17.813333333532</v>
      </c>
      <c r="AE8" s="10">
        <v>13.2899999996026</v>
      </c>
      <c r="AF8" s="10">
        <v>13.3466666668653</v>
      </c>
      <c r="AG8" s="11">
        <v>2.66666670640309E-2</v>
      </c>
      <c r="AH8" s="11">
        <v>6.6666662693023598E-3</v>
      </c>
      <c r="AI8" s="11">
        <v>2.66666670640309E-2</v>
      </c>
      <c r="AJ8" s="11">
        <v>3.6666666467984499E-2</v>
      </c>
      <c r="AK8" s="11">
        <v>2.3333333929379699E-2</v>
      </c>
      <c r="AL8" s="11">
        <v>2.0000000794728499E-2</v>
      </c>
      <c r="AM8" s="10">
        <v>0.56333333353201498</v>
      </c>
      <c r="AN8" s="10">
        <v>0.549999998013178</v>
      </c>
      <c r="AO8" s="10">
        <v>1.0033333331346499</v>
      </c>
      <c r="AP8" s="10">
        <v>0.75666666626930201</v>
      </c>
      <c r="AQ8" s="10">
        <v>0.95666666626930197</v>
      </c>
      <c r="AR8" s="10">
        <v>0.62666666607062005</v>
      </c>
      <c r="AS8" s="11">
        <v>49.006666666269297</v>
      </c>
      <c r="AT8" s="11">
        <v>45.153333334128</v>
      </c>
      <c r="AU8" s="11">
        <v>40.0399999996026</v>
      </c>
      <c r="AV8" s="11">
        <v>52.030000000198598</v>
      </c>
      <c r="AW8" s="11">
        <v>36.291880802262661</v>
      </c>
      <c r="AX8" s="11">
        <v>54.883333333333297</v>
      </c>
      <c r="AY8" s="10">
        <v>2.2566666662692998</v>
      </c>
      <c r="AZ8" s="10">
        <v>2.0366666664679798</v>
      </c>
      <c r="BA8" s="10">
        <v>2.3033333341280602</v>
      </c>
      <c r="BB8" s="10">
        <v>2.3300000001986798</v>
      </c>
      <c r="BC8" s="10">
        <v>2.4</v>
      </c>
      <c r="BD8" s="10">
        <v>1.6866666674613899</v>
      </c>
      <c r="BE8" s="12">
        <v>539.60999999940395</v>
      </c>
      <c r="BF8" s="13">
        <v>391.73333333333301</v>
      </c>
      <c r="BG8" s="13">
        <v>691.063333333532</v>
      </c>
      <c r="BH8" s="13">
        <v>388.70333333412799</v>
      </c>
      <c r="BI8" s="13">
        <v>376.34000000059598</v>
      </c>
      <c r="BJ8" s="13">
        <v>239.80333333313399</v>
      </c>
      <c r="BK8" s="14">
        <v>473.64666666587101</v>
      </c>
      <c r="BL8" s="14">
        <v>470.05</v>
      </c>
      <c r="BM8" s="14">
        <v>451.39333333373003</v>
      </c>
      <c r="BN8" s="14">
        <v>629.66999999980101</v>
      </c>
      <c r="BO8" s="14">
        <v>835.91666666666595</v>
      </c>
      <c r="BP8" s="14">
        <v>303.54666666686501</v>
      </c>
      <c r="BQ8" s="13">
        <v>549.95333333412805</v>
      </c>
      <c r="BR8" s="13">
        <v>401.47666666706402</v>
      </c>
      <c r="BS8" s="13">
        <v>695.85666666726195</v>
      </c>
      <c r="BT8" s="13">
        <v>1837.82666666706</v>
      </c>
      <c r="BU8" s="13">
        <v>369.66333333353202</v>
      </c>
      <c r="BV8" s="13">
        <v>246.53333333333299</v>
      </c>
      <c r="BW8" s="14">
        <v>1163.4000000000001</v>
      </c>
      <c r="BX8" s="14">
        <v>442.28333333333302</v>
      </c>
      <c r="BY8" s="14">
        <v>439.916666666666</v>
      </c>
      <c r="BZ8" s="14">
        <v>409.99666666587098</v>
      </c>
      <c r="CA8" s="14">
        <v>788.74333333372999</v>
      </c>
      <c r="CB8" s="14">
        <v>607.05333333313399</v>
      </c>
      <c r="CC8" s="13">
        <v>1993.4266666670601</v>
      </c>
      <c r="CD8" s="13">
        <v>3535.8333333333298</v>
      </c>
      <c r="CE8" s="13">
        <v>546.00666666626898</v>
      </c>
      <c r="CF8" s="13">
        <v>242.14999999900601</v>
      </c>
      <c r="CG8" s="13">
        <v>374.413333332538</v>
      </c>
      <c r="CH8" s="13">
        <v>394.65</v>
      </c>
      <c r="CI8" s="14">
        <v>473.89333333373003</v>
      </c>
      <c r="CJ8" s="14">
        <v>843.32333333293502</v>
      </c>
      <c r="CK8" s="14">
        <v>500.48333333333301</v>
      </c>
      <c r="CL8" s="14">
        <v>290.166666666666</v>
      </c>
      <c r="CM8" s="14">
        <v>642.686666666468</v>
      </c>
      <c r="CN8" s="14">
        <v>460.26666666666603</v>
      </c>
    </row>
    <row r="9" spans="1:92" ht="16.5" thickTop="1" thickBot="1">
      <c r="A9" s="1"/>
      <c r="B9" s="1"/>
      <c r="C9" s="10">
        <v>0.63999999960263498</v>
      </c>
      <c r="D9" s="10">
        <v>0.82333333194255798</v>
      </c>
      <c r="E9" s="10">
        <v>0.58666666646798404</v>
      </c>
      <c r="F9" s="10">
        <v>0.86000000039736402</v>
      </c>
      <c r="G9" s="10">
        <v>0.85333333313465098</v>
      </c>
      <c r="H9" s="10">
        <v>0.56999999980131699</v>
      </c>
      <c r="I9" s="11">
        <v>47.3966666668653</v>
      </c>
      <c r="J9" s="11">
        <v>41.663333333532002</v>
      </c>
      <c r="K9" s="11">
        <v>48.619999999801301</v>
      </c>
      <c r="L9" s="11">
        <v>42.376666667064001</v>
      </c>
      <c r="M9" s="11">
        <v>43.776666667063999</v>
      </c>
      <c r="N9" s="11">
        <v>57.1166666656732</v>
      </c>
      <c r="O9" s="10">
        <v>2.2666666666666599</v>
      </c>
      <c r="P9" s="10">
        <v>2.0566666662693001</v>
      </c>
      <c r="Q9" s="10">
        <v>2.2833333333333301</v>
      </c>
      <c r="R9" s="10">
        <v>2.3600000003973598</v>
      </c>
      <c r="S9" s="10">
        <v>1.8566666662693001</v>
      </c>
      <c r="T9" s="10">
        <v>2.07333333293596</v>
      </c>
      <c r="U9" s="11">
        <v>0.95999999940395297</v>
      </c>
      <c r="V9" s="11">
        <v>0.78999999960263501</v>
      </c>
      <c r="W9" s="11">
        <v>0.81999999980131699</v>
      </c>
      <c r="X9" s="11">
        <v>0.85</v>
      </c>
      <c r="Y9" s="11">
        <v>1.18333333233992</v>
      </c>
      <c r="Z9" s="11">
        <v>0.75</v>
      </c>
      <c r="AA9" s="10">
        <v>15.2933333327372</v>
      </c>
      <c r="AB9" s="10">
        <v>10.4666666656732</v>
      </c>
      <c r="AC9" s="10">
        <v>13.1200000007947</v>
      </c>
      <c r="AD9" s="10">
        <v>17.153333334128</v>
      </c>
      <c r="AE9" s="10">
        <v>13.380000000198599</v>
      </c>
      <c r="AF9" s="10">
        <v>13.3100000003973</v>
      </c>
      <c r="AG9" s="11">
        <v>2.3333333929379699E-2</v>
      </c>
      <c r="AH9" s="11">
        <v>9.9999994039535502E-3</v>
      </c>
      <c r="AI9" s="11">
        <v>1.6666666666666601E-2</v>
      </c>
      <c r="AJ9" s="11">
        <v>3.0000000198682101E-2</v>
      </c>
      <c r="AK9" s="11">
        <v>2.3333332935968999E-2</v>
      </c>
      <c r="AL9" s="11">
        <v>1.6666666666666601E-2</v>
      </c>
      <c r="AM9" s="10">
        <v>0.47666666706403099</v>
      </c>
      <c r="AN9" s="10">
        <v>0.63999999960263498</v>
      </c>
      <c r="AO9" s="10">
        <v>0.68666666746139504</v>
      </c>
      <c r="AP9" s="10">
        <v>0.7</v>
      </c>
      <c r="AQ9" s="10">
        <v>0.57333333392937902</v>
      </c>
      <c r="AR9" s="10">
        <v>0.536666666467984</v>
      </c>
      <c r="AS9" s="11">
        <v>49.193333333730699</v>
      </c>
      <c r="AT9" s="11">
        <v>44.426666666070602</v>
      </c>
      <c r="AU9" s="11">
        <v>41.733333333333299</v>
      </c>
      <c r="AV9" s="11">
        <v>51.079999999205199</v>
      </c>
      <c r="AW9" s="11">
        <v>41.680162023180237</v>
      </c>
      <c r="AX9" s="11">
        <v>54.7366666674613</v>
      </c>
      <c r="AY9" s="10">
        <v>2.1733333329359601</v>
      </c>
      <c r="AZ9" s="10">
        <v>2.00666666726271</v>
      </c>
      <c r="BA9" s="10">
        <v>1.8633333335320099</v>
      </c>
      <c r="BB9" s="10">
        <v>2.1866666664679801</v>
      </c>
      <c r="BC9" s="10">
        <v>2.2199999998013098</v>
      </c>
      <c r="BD9" s="10">
        <v>1.71333333353201</v>
      </c>
      <c r="BE9" s="12">
        <v>540.71333333353198</v>
      </c>
      <c r="BF9" s="13">
        <v>391.79666666587099</v>
      </c>
      <c r="BG9" s="13">
        <v>693.88999999960197</v>
      </c>
      <c r="BH9" s="13">
        <v>390.07000000079398</v>
      </c>
      <c r="BI9" s="13">
        <v>376.59000000059598</v>
      </c>
      <c r="BJ9" s="13">
        <v>238.626666667064</v>
      </c>
      <c r="BK9" s="14">
        <v>482.59333333273702</v>
      </c>
      <c r="BL9" s="14">
        <v>477.41999999980101</v>
      </c>
      <c r="BM9" s="14">
        <v>454.063333334525</v>
      </c>
      <c r="BN9" s="14">
        <v>631.84000000059598</v>
      </c>
      <c r="BO9" s="14">
        <v>833.68000000019799</v>
      </c>
      <c r="BP9" s="14">
        <v>299.560000000397</v>
      </c>
      <c r="BQ9" s="13">
        <v>547.63666666746099</v>
      </c>
      <c r="BR9" s="13">
        <v>406.96999999980102</v>
      </c>
      <c r="BS9" s="13">
        <v>695.13000000019804</v>
      </c>
      <c r="BT9" s="13">
        <v>1873.2899999996</v>
      </c>
      <c r="BU9" s="13">
        <v>369.24000000059601</v>
      </c>
      <c r="BV9" s="13">
        <v>248.586666667461</v>
      </c>
      <c r="BW9" s="14">
        <v>1245.94666666686</v>
      </c>
      <c r="BX9" s="14">
        <v>453.996666666865</v>
      </c>
      <c r="BY9" s="14">
        <v>443.190000000596</v>
      </c>
      <c r="BZ9" s="14">
        <v>408.45666666626897</v>
      </c>
      <c r="CA9" s="14">
        <v>790.50333333313404</v>
      </c>
      <c r="CB9" s="14">
        <v>620.46000000039703</v>
      </c>
      <c r="CC9" s="13">
        <v>1966.10333333313</v>
      </c>
      <c r="CD9" s="13">
        <v>800.85333333214101</v>
      </c>
      <c r="CE9" s="13">
        <v>540.81666666666604</v>
      </c>
      <c r="CF9" s="13">
        <v>239.85</v>
      </c>
      <c r="CG9" s="13">
        <v>376.03333333333302</v>
      </c>
      <c r="CH9" s="13">
        <v>393.58333333333297</v>
      </c>
      <c r="CI9" s="14">
        <v>482.63999999960203</v>
      </c>
      <c r="CJ9" s="14">
        <v>843.253333334128</v>
      </c>
      <c r="CK9" s="14">
        <v>495.93000000019799</v>
      </c>
      <c r="CL9" s="14">
        <v>290.10999999940299</v>
      </c>
      <c r="CM9" s="14">
        <v>642.70000000000005</v>
      </c>
      <c r="CN9" s="14">
        <v>453.42333333293499</v>
      </c>
    </row>
    <row r="10" spans="1:92" ht="16.5" thickTop="1" thickBot="1">
      <c r="A10" s="1"/>
      <c r="B10" s="1"/>
      <c r="C10" s="10">
        <v>0.82333333392937902</v>
      </c>
      <c r="D10" s="10">
        <v>0.99333333373069699</v>
      </c>
      <c r="E10" s="10">
        <v>0.95</v>
      </c>
      <c r="F10" s="10">
        <v>0.94666666686534795</v>
      </c>
      <c r="G10" s="10">
        <v>0.63999999960263498</v>
      </c>
      <c r="H10" s="10">
        <v>0.86666666666666603</v>
      </c>
      <c r="I10" s="11">
        <v>47.489999999602603</v>
      </c>
      <c r="J10" s="11">
        <v>40.846666666865303</v>
      </c>
      <c r="K10" s="11">
        <v>48.573333332935903</v>
      </c>
      <c r="L10" s="11">
        <v>42.133333333333297</v>
      </c>
      <c r="M10" s="11">
        <v>43.843333333730698</v>
      </c>
      <c r="N10" s="11">
        <v>56.526666667063999</v>
      </c>
      <c r="O10" s="10">
        <v>2.1033333331346502</v>
      </c>
      <c r="P10" s="10">
        <v>2.0633333335320101</v>
      </c>
      <c r="Q10" s="10">
        <v>2.25</v>
      </c>
      <c r="R10" s="10">
        <v>2.1033333331346502</v>
      </c>
      <c r="S10" s="10">
        <v>1.7033333341280601</v>
      </c>
      <c r="T10" s="10">
        <v>2.1066666672627101</v>
      </c>
      <c r="U10" s="11">
        <v>0.88000000019868196</v>
      </c>
      <c r="V10" s="11">
        <v>0.85666666726271301</v>
      </c>
      <c r="W10" s="11">
        <v>0.71666666666666601</v>
      </c>
      <c r="X10" s="11">
        <v>0.62333333392937895</v>
      </c>
      <c r="Y10" s="11">
        <v>1.0566666662693001</v>
      </c>
      <c r="Z10" s="11">
        <v>0.83666666746139495</v>
      </c>
      <c r="AA10" s="10">
        <v>15.2133333345254</v>
      </c>
      <c r="AB10" s="10">
        <v>10.523333333929299</v>
      </c>
      <c r="AC10" s="10">
        <v>13.283333333333299</v>
      </c>
      <c r="AD10" s="10">
        <v>17.203333334128001</v>
      </c>
      <c r="AE10" s="10">
        <v>13.3066666672627</v>
      </c>
      <c r="AF10" s="10">
        <v>14.053333333134599</v>
      </c>
      <c r="AG10" s="11">
        <v>1.3333332538604701E-2</v>
      </c>
      <c r="AH10" s="11">
        <v>1.3333332538604701E-2</v>
      </c>
      <c r="AI10" s="11">
        <v>1.6666666666666601E-2</v>
      </c>
      <c r="AJ10" s="11">
        <v>3.66666674613952E-2</v>
      </c>
      <c r="AK10" s="11">
        <v>2.6666666070620199E-2</v>
      </c>
      <c r="AL10" s="11">
        <v>2.3333333929379699E-2</v>
      </c>
      <c r="AM10" s="10">
        <v>0.443333333730697</v>
      </c>
      <c r="AN10" s="10">
        <v>0.55000000000000004</v>
      </c>
      <c r="AO10" s="10">
        <v>0.65666666726271306</v>
      </c>
      <c r="AP10" s="10">
        <v>1.1499999999999999</v>
      </c>
      <c r="AQ10" s="10">
        <v>0.823333332935969</v>
      </c>
      <c r="AR10" s="10">
        <v>0.63999999960263498</v>
      </c>
      <c r="AS10" s="11">
        <v>48.563333333532</v>
      </c>
      <c r="AT10" s="11">
        <v>44.509999999403902</v>
      </c>
      <c r="AU10" s="11">
        <v>40.700000000000003</v>
      </c>
      <c r="AV10" s="11">
        <v>51.209999999403898</v>
      </c>
      <c r="AW10" s="11">
        <v>32.626281604620381</v>
      </c>
      <c r="AX10" s="11">
        <v>54.506666667262699</v>
      </c>
      <c r="AY10" s="10">
        <v>2.0899999996026302</v>
      </c>
      <c r="AZ10" s="10">
        <v>2.1033333331346502</v>
      </c>
      <c r="BA10" s="10">
        <v>2.18333333333333</v>
      </c>
      <c r="BB10" s="10">
        <v>1.93999999960263</v>
      </c>
      <c r="BC10" s="10">
        <v>2.28000000019868</v>
      </c>
      <c r="BD10" s="10">
        <v>1.81666666666666</v>
      </c>
      <c r="BE10" s="12">
        <v>2545.60666666626</v>
      </c>
      <c r="BF10" s="13">
        <v>395.73333333432601</v>
      </c>
      <c r="BG10" s="13">
        <v>691.61999999980105</v>
      </c>
      <c r="BH10" s="13">
        <v>390.373333333929</v>
      </c>
      <c r="BI10" s="13">
        <v>374.26666666666603</v>
      </c>
      <c r="BJ10" s="13">
        <v>239.286666665474</v>
      </c>
      <c r="BK10" s="14">
        <v>473.03333333333302</v>
      </c>
      <c r="BL10" s="14">
        <v>1965.44666666686</v>
      </c>
      <c r="BM10" s="14">
        <v>456.82333333392899</v>
      </c>
      <c r="BN10" s="14">
        <v>638.36666666666599</v>
      </c>
      <c r="BO10" s="14">
        <v>835.75666666626898</v>
      </c>
      <c r="BP10" s="14">
        <v>297.22666666607</v>
      </c>
      <c r="BQ10" s="13">
        <v>2493.3600000003898</v>
      </c>
      <c r="BR10" s="13">
        <v>408.42333333392901</v>
      </c>
      <c r="BS10" s="13">
        <v>695.07333333392899</v>
      </c>
      <c r="BT10" s="13">
        <v>1876.7033333331301</v>
      </c>
      <c r="BU10" s="13">
        <v>369.119999999801</v>
      </c>
      <c r="BV10" s="13">
        <v>250.20999999940301</v>
      </c>
      <c r="BW10" s="14">
        <v>1154.5066666652699</v>
      </c>
      <c r="BX10" s="14">
        <v>442.95</v>
      </c>
      <c r="BY10" s="14">
        <v>443.49666666587098</v>
      </c>
      <c r="BZ10" s="14">
        <v>415.64666666686497</v>
      </c>
      <c r="CA10" s="14">
        <v>3489.5666666666598</v>
      </c>
      <c r="CB10" s="14">
        <v>654.66333333353202</v>
      </c>
      <c r="CC10" s="13">
        <v>2251.65</v>
      </c>
      <c r="CD10" s="13">
        <v>801.01666666766005</v>
      </c>
      <c r="CE10" s="13">
        <v>540.93666666746105</v>
      </c>
      <c r="CF10" s="13">
        <v>238.790000000596</v>
      </c>
      <c r="CG10" s="13">
        <v>375.933333333333</v>
      </c>
      <c r="CH10" s="13">
        <v>394.48666666646801</v>
      </c>
      <c r="CI10" s="14">
        <v>475.08333333333297</v>
      </c>
      <c r="CJ10" s="14">
        <v>840.93000000019799</v>
      </c>
      <c r="CK10" s="14">
        <v>508.90666666626902</v>
      </c>
      <c r="CL10" s="14">
        <v>299.25666666726198</v>
      </c>
      <c r="CM10" s="14">
        <v>641.95999999841001</v>
      </c>
      <c r="CN10" s="14">
        <v>462.23666666646801</v>
      </c>
    </row>
    <row r="11" spans="1:92" ht="16.5" thickTop="1" thickBot="1">
      <c r="A11" s="1"/>
      <c r="B11" s="1"/>
      <c r="C11" s="10">
        <v>0.60333333313465098</v>
      </c>
      <c r="D11" s="10">
        <v>1.1666666666666601</v>
      </c>
      <c r="E11" s="10">
        <v>0.78000000019868199</v>
      </c>
      <c r="F11" s="10">
        <v>0.99666666587193797</v>
      </c>
      <c r="G11" s="10">
        <v>0.77333333293596895</v>
      </c>
      <c r="H11" s="10">
        <v>0.53000000019868199</v>
      </c>
      <c r="I11" s="11">
        <v>47.489999999602603</v>
      </c>
      <c r="J11" s="11">
        <v>40.956666667262702</v>
      </c>
      <c r="K11" s="11">
        <v>51.930000000198604</v>
      </c>
      <c r="L11" s="11">
        <v>41.876666666070598</v>
      </c>
      <c r="M11" s="11">
        <v>44.076666667064003</v>
      </c>
      <c r="N11" s="11">
        <v>57.806666666269301</v>
      </c>
      <c r="O11" s="10">
        <v>2.3799999992052698</v>
      </c>
      <c r="P11" s="10">
        <v>2.2199999998013098</v>
      </c>
      <c r="Q11" s="10">
        <v>2.37666666706403</v>
      </c>
      <c r="R11" s="10">
        <v>2.1766666670640298</v>
      </c>
      <c r="S11" s="10">
        <v>1.77333333293596</v>
      </c>
      <c r="T11" s="10">
        <v>2.1433333337306899</v>
      </c>
      <c r="U11" s="11">
        <v>0.93999999960263503</v>
      </c>
      <c r="V11" s="11">
        <v>0.91333333353201496</v>
      </c>
      <c r="W11" s="11">
        <v>0.79000000059604603</v>
      </c>
      <c r="X11" s="11">
        <v>0.60333333412806101</v>
      </c>
      <c r="Y11" s="11">
        <v>1.2466666668653399</v>
      </c>
      <c r="Z11" s="11">
        <v>0.86000000039736402</v>
      </c>
      <c r="AA11" s="10">
        <v>15.2833333323399</v>
      </c>
      <c r="AB11" s="10">
        <v>10.440000000595999</v>
      </c>
      <c r="AC11" s="10">
        <v>14.673333332935901</v>
      </c>
      <c r="AD11" s="10">
        <v>17.903333333134601</v>
      </c>
      <c r="AE11" s="10">
        <v>13.3533333331346</v>
      </c>
      <c r="AF11" s="10">
        <v>14.2733333329359</v>
      </c>
      <c r="AG11" s="11">
        <v>1.33333335320154E-2</v>
      </c>
      <c r="AH11" s="11">
        <v>1.3333332538604701E-2</v>
      </c>
      <c r="AI11" s="11">
        <v>1.6666666666666601E-2</v>
      </c>
      <c r="AJ11" s="11">
        <v>4.0000000596046401E-2</v>
      </c>
      <c r="AK11" s="11">
        <v>1.33333335320154E-2</v>
      </c>
      <c r="AL11" s="11">
        <v>3.6666666467984499E-2</v>
      </c>
      <c r="AM11" s="10">
        <v>0.673333333929379</v>
      </c>
      <c r="AN11" s="10">
        <v>0.56333333353201498</v>
      </c>
      <c r="AO11" s="10">
        <v>0.673333333929379</v>
      </c>
      <c r="AP11" s="10">
        <v>0.77666666607061996</v>
      </c>
      <c r="AQ11" s="10">
        <v>0.70000000099340998</v>
      </c>
      <c r="AR11" s="10">
        <v>0.52333333392937897</v>
      </c>
      <c r="AS11" s="11">
        <v>50.210000000397301</v>
      </c>
      <c r="AT11" s="11">
        <v>45.7699999998013</v>
      </c>
      <c r="AU11" s="11">
        <v>47.8333333333333</v>
      </c>
      <c r="AV11" s="11">
        <v>50.383333333333297</v>
      </c>
      <c r="AW11" s="11">
        <v>33.383901195615763</v>
      </c>
      <c r="AX11" s="11">
        <v>57.3933333327372</v>
      </c>
      <c r="AY11" s="10">
        <v>2.1866666664679801</v>
      </c>
      <c r="AZ11" s="10">
        <v>2.0899999996026302</v>
      </c>
      <c r="BA11" s="10">
        <v>1.88333333233992</v>
      </c>
      <c r="BB11" s="10">
        <v>2.2066666672627102</v>
      </c>
      <c r="BC11" s="10">
        <v>2.4766666660706198</v>
      </c>
      <c r="BD11" s="10">
        <v>1.7066666662693</v>
      </c>
      <c r="BE11" s="12">
        <v>2488.7699999997999</v>
      </c>
      <c r="BF11" s="13">
        <v>394.33999999960201</v>
      </c>
      <c r="BG11" s="13">
        <v>689.79000000059602</v>
      </c>
      <c r="BH11" s="13">
        <v>389.96999999980102</v>
      </c>
      <c r="BI11" s="13">
        <v>374.51999999980097</v>
      </c>
      <c r="BJ11" s="13">
        <v>241.07333333293499</v>
      </c>
      <c r="BK11" s="14">
        <v>482.76333333353199</v>
      </c>
      <c r="BL11" s="14">
        <v>1999.2</v>
      </c>
      <c r="BM11" s="14">
        <v>453.84666666686502</v>
      </c>
      <c r="BN11" s="14">
        <v>631.80999999841004</v>
      </c>
      <c r="BO11" s="14">
        <v>835.61666666666599</v>
      </c>
      <c r="BP11" s="14">
        <v>305.93999999960198</v>
      </c>
      <c r="BQ11" s="13">
        <v>2985.19666666686</v>
      </c>
      <c r="BR11" s="13">
        <v>404.51999999980097</v>
      </c>
      <c r="BS11" s="13">
        <v>697.72666666606995</v>
      </c>
      <c r="BT11" s="13">
        <v>1846.38333333333</v>
      </c>
      <c r="BU11" s="13">
        <v>367.34666666686502</v>
      </c>
      <c r="BV11" s="13">
        <v>246.64000000059599</v>
      </c>
      <c r="BW11" s="14">
        <v>1155.1366666654701</v>
      </c>
      <c r="BX11" s="14">
        <v>435.08000000019803</v>
      </c>
      <c r="BY11" s="14">
        <v>441.61000000039701</v>
      </c>
      <c r="BZ11" s="14">
        <v>416.59333333373002</v>
      </c>
      <c r="CA11" s="14">
        <v>786.60333333214101</v>
      </c>
      <c r="CB11" s="14">
        <v>599.53333333333296</v>
      </c>
      <c r="CC11" s="13">
        <v>2129.4666666656699</v>
      </c>
      <c r="CD11" s="13">
        <v>792.15666666626896</v>
      </c>
      <c r="CE11" s="13">
        <v>541.62666666607004</v>
      </c>
      <c r="CF11" s="13">
        <v>238.85</v>
      </c>
      <c r="CG11" s="13">
        <v>372.50666666626898</v>
      </c>
      <c r="CH11" s="13">
        <v>394.10666666626901</v>
      </c>
      <c r="CI11" s="14">
        <v>480.64666666587101</v>
      </c>
      <c r="CJ11" s="14">
        <v>842.7</v>
      </c>
      <c r="CK11" s="14">
        <v>502.15333333313401</v>
      </c>
      <c r="CL11" s="14">
        <v>292.186666667461</v>
      </c>
      <c r="CM11" s="14">
        <v>643.83666666646798</v>
      </c>
      <c r="CN11" s="14">
        <v>454.060000000397</v>
      </c>
    </row>
    <row r="12" spans="1:92" ht="16.5" thickTop="1" thickBot="1">
      <c r="A12" s="1"/>
      <c r="B12" s="1"/>
      <c r="C12" s="10">
        <v>0.89666666686534802</v>
      </c>
      <c r="D12" s="10">
        <v>1.01333333353201</v>
      </c>
      <c r="E12" s="10">
        <v>0.83666666646798404</v>
      </c>
      <c r="F12" s="10">
        <v>0.73333333333333295</v>
      </c>
      <c r="G12" s="10">
        <v>0.63333333333333297</v>
      </c>
      <c r="H12" s="10">
        <v>0.82666666706403003</v>
      </c>
      <c r="I12" s="11">
        <v>47.366666666666603</v>
      </c>
      <c r="J12" s="11">
        <v>40.989999999602603</v>
      </c>
      <c r="K12" s="11">
        <v>48.976666667064002</v>
      </c>
      <c r="L12" s="11">
        <v>41.913333333532002</v>
      </c>
      <c r="M12" s="11">
        <v>43.7899999996026</v>
      </c>
      <c r="N12" s="11">
        <v>57.530000000198598</v>
      </c>
      <c r="O12" s="10">
        <v>2.0333333333333301</v>
      </c>
      <c r="P12" s="10">
        <v>2.0166666666666599</v>
      </c>
      <c r="Q12" s="10">
        <v>2.2533333331346501</v>
      </c>
      <c r="R12" s="10">
        <v>2.1133333335320099</v>
      </c>
      <c r="S12" s="10">
        <v>1.7100000003973601</v>
      </c>
      <c r="T12" s="10">
        <v>2.16999999980131</v>
      </c>
      <c r="U12" s="11">
        <v>0.90333333412806105</v>
      </c>
      <c r="V12" s="11">
        <v>1.2</v>
      </c>
      <c r="W12" s="11">
        <v>0.85666666726271301</v>
      </c>
      <c r="X12" s="11">
        <v>0.84333333174387604</v>
      </c>
      <c r="Y12" s="11">
        <v>1.03000000019868</v>
      </c>
      <c r="Z12" s="11">
        <v>0.98000000019868205</v>
      </c>
      <c r="AA12" s="10">
        <v>15.303333333134599</v>
      </c>
      <c r="AB12" s="10">
        <v>10.5233333329359</v>
      </c>
      <c r="AC12" s="10">
        <v>14.0833333333333</v>
      </c>
      <c r="AD12" s="10">
        <v>17.380000000198599</v>
      </c>
      <c r="AE12" s="10">
        <v>14.336666666467901</v>
      </c>
      <c r="AF12" s="10">
        <v>13.319999999801301</v>
      </c>
      <c r="AG12" s="11">
        <v>2.3333332935968999E-2</v>
      </c>
      <c r="AH12" s="11">
        <v>1.6666666666666601E-2</v>
      </c>
      <c r="AI12" s="11">
        <v>2.66666670640309E-2</v>
      </c>
      <c r="AJ12" s="11">
        <v>5.6666667262713098E-2</v>
      </c>
      <c r="AK12" s="11">
        <v>3.3333333333333298E-2</v>
      </c>
      <c r="AL12" s="11">
        <v>3.6666666467984499E-2</v>
      </c>
      <c r="AM12" s="10">
        <v>0.44333333273728598</v>
      </c>
      <c r="AN12" s="10">
        <v>0.72333333293596902</v>
      </c>
      <c r="AO12" s="10">
        <v>0.63000000019868196</v>
      </c>
      <c r="AP12" s="10">
        <v>0.89666666785875904</v>
      </c>
      <c r="AQ12" s="10">
        <v>0.68666666646798402</v>
      </c>
      <c r="AR12" s="10">
        <v>0.71999999980131701</v>
      </c>
      <c r="AS12" s="11">
        <v>48.626666667064001</v>
      </c>
      <c r="AT12" s="11">
        <v>45.2933333337307</v>
      </c>
      <c r="AU12" s="11">
        <v>45.910000000397297</v>
      </c>
      <c r="AV12" s="11">
        <v>51.933333333333302</v>
      </c>
      <c r="AW12" s="11">
        <v>32.936246952209657</v>
      </c>
      <c r="AX12" s="11">
        <v>59.323333333929298</v>
      </c>
      <c r="AY12" s="10">
        <v>2.15</v>
      </c>
      <c r="AZ12" s="10">
        <v>1.97666666706403</v>
      </c>
      <c r="BA12" s="10">
        <v>1.92666666706403</v>
      </c>
      <c r="BB12" s="10">
        <v>2.5166666666666599</v>
      </c>
      <c r="BC12" s="10">
        <v>2.4</v>
      </c>
      <c r="BD12" s="10">
        <v>1.92666666607062</v>
      </c>
      <c r="BE12" s="12">
        <v>2506.6900000005899</v>
      </c>
      <c r="BF12" s="13">
        <v>394.433333333333</v>
      </c>
      <c r="BG12" s="13">
        <v>690.76000000039699</v>
      </c>
      <c r="BH12" s="13">
        <v>394.14666666686497</v>
      </c>
      <c r="BI12" s="13">
        <v>371.619999999801</v>
      </c>
      <c r="BJ12" s="13">
        <v>238.03333333333299</v>
      </c>
      <c r="BK12" s="14">
        <v>480.786666666467</v>
      </c>
      <c r="BL12" s="14">
        <v>1955.89666666686</v>
      </c>
      <c r="BM12" s="14">
        <v>452.89333333273697</v>
      </c>
      <c r="BN12" s="14">
        <v>627.66999999980101</v>
      </c>
      <c r="BO12" s="14">
        <v>835.81000000039705</v>
      </c>
      <c r="BP12" s="14">
        <v>291.42333333293499</v>
      </c>
      <c r="BQ12" s="13">
        <v>2498.5199999997999</v>
      </c>
      <c r="BR12" s="13">
        <v>412.723333332935</v>
      </c>
      <c r="BS12" s="13">
        <v>700.21333333353198</v>
      </c>
      <c r="BT12" s="13">
        <v>1911.75</v>
      </c>
      <c r="BU12" s="13">
        <v>367.603333333134</v>
      </c>
      <c r="BV12" s="13">
        <v>249.22333333392899</v>
      </c>
      <c r="BW12" s="14">
        <v>1237.5033333321401</v>
      </c>
      <c r="BX12" s="14">
        <v>438.53000000019802</v>
      </c>
      <c r="BY12" s="14">
        <v>441.64666666686497</v>
      </c>
      <c r="BZ12" s="14">
        <v>412.20666666626897</v>
      </c>
      <c r="CA12" s="14">
        <v>784.06000000039705</v>
      </c>
      <c r="CB12" s="14">
        <v>598.28333333333296</v>
      </c>
      <c r="CC12" s="13">
        <v>2025.3066666662601</v>
      </c>
      <c r="CD12" s="13">
        <v>805.16999999980101</v>
      </c>
      <c r="CE12" s="13">
        <v>537.86666666567305</v>
      </c>
      <c r="CF12" s="13">
        <v>241.68000000019799</v>
      </c>
      <c r="CG12" s="13">
        <v>543.23333333333301</v>
      </c>
      <c r="CH12" s="13">
        <v>393.37333333293498</v>
      </c>
      <c r="CI12" s="14">
        <v>483.35333333214101</v>
      </c>
      <c r="CJ12" s="14">
        <v>843.86999999980105</v>
      </c>
      <c r="CK12" s="14">
        <v>500.730000000198</v>
      </c>
      <c r="CL12" s="14">
        <v>294.97666666706402</v>
      </c>
      <c r="CM12" s="14">
        <v>641.35999999940395</v>
      </c>
      <c r="CN12" s="14">
        <v>466.57333333293599</v>
      </c>
    </row>
    <row r="13" spans="1:92" ht="16.5" thickTop="1" thickBot="1">
      <c r="A13" s="1"/>
      <c r="B13" s="1"/>
      <c r="C13" s="10">
        <v>0.65</v>
      </c>
      <c r="D13" s="10">
        <v>0.82666666607062</v>
      </c>
      <c r="E13" s="10">
        <v>0.62666666607062005</v>
      </c>
      <c r="F13" s="10">
        <v>0.75</v>
      </c>
      <c r="G13" s="10">
        <v>1.0533333331346499</v>
      </c>
      <c r="H13" s="10">
        <v>0.47333333293596902</v>
      </c>
      <c r="I13" s="11">
        <v>47.3533333331346</v>
      </c>
      <c r="J13" s="11">
        <v>41.726666666070599</v>
      </c>
      <c r="K13" s="11">
        <v>48.616666666666603</v>
      </c>
      <c r="L13" s="11">
        <v>42.4166666666666</v>
      </c>
      <c r="M13" s="11">
        <v>43.780000000198598</v>
      </c>
      <c r="N13" s="11">
        <v>60.1433333327372</v>
      </c>
      <c r="O13" s="10">
        <v>3.54333333273728</v>
      </c>
      <c r="P13" s="10">
        <v>1.9800000001986799</v>
      </c>
      <c r="Q13" s="10">
        <v>2.3600000003973598</v>
      </c>
      <c r="R13" s="10">
        <v>2.09666666587193</v>
      </c>
      <c r="S13" s="10">
        <v>1.73666666646798</v>
      </c>
      <c r="T13" s="10">
        <v>1.9299999992052701</v>
      </c>
      <c r="U13" s="11">
        <v>1.05999999940395</v>
      </c>
      <c r="V13" s="11">
        <v>0.83666666646798404</v>
      </c>
      <c r="W13" s="11">
        <v>0.823333332935969</v>
      </c>
      <c r="X13" s="11">
        <v>0.70333333313465096</v>
      </c>
      <c r="Y13" s="11">
        <v>2.7399999996026301</v>
      </c>
      <c r="Z13" s="11">
        <v>1.18999999960263</v>
      </c>
      <c r="AA13" s="10">
        <v>15.219999999801299</v>
      </c>
      <c r="AB13" s="10">
        <v>10.5233333329359</v>
      </c>
      <c r="AC13" s="10">
        <v>13.323333332935899</v>
      </c>
      <c r="AD13" s="10">
        <v>17.260000000397302</v>
      </c>
      <c r="AE13" s="10">
        <v>13.2733333329359</v>
      </c>
      <c r="AF13" s="10">
        <v>13.6</v>
      </c>
      <c r="AG13" s="11">
        <v>1.6666666666666601E-2</v>
      </c>
      <c r="AH13" s="11">
        <v>1.33333335320154E-2</v>
      </c>
      <c r="AI13" s="11">
        <v>2.3333332935968999E-2</v>
      </c>
      <c r="AJ13" s="11">
        <v>3.6666666467984499E-2</v>
      </c>
      <c r="AK13" s="11">
        <v>1.33333335320154E-2</v>
      </c>
      <c r="AL13" s="11">
        <v>0.05</v>
      </c>
      <c r="AM13" s="10">
        <v>0.53333333333333299</v>
      </c>
      <c r="AN13" s="10">
        <v>0.56333333253860396</v>
      </c>
      <c r="AO13" s="10">
        <v>0.74000000059604598</v>
      </c>
      <c r="AP13" s="10">
        <v>0.81666666666666599</v>
      </c>
      <c r="AQ13" s="10">
        <v>0.59333333273728595</v>
      </c>
      <c r="AR13" s="10">
        <v>0.57333333392937902</v>
      </c>
      <c r="AS13" s="11">
        <v>49.380000000198599</v>
      </c>
      <c r="AT13" s="11">
        <v>46.203333334127997</v>
      </c>
      <c r="AU13" s="11">
        <v>40.113333333531997</v>
      </c>
      <c r="AV13" s="11">
        <v>50.453333333134601</v>
      </c>
      <c r="AW13" s="11">
        <v>34.599243029456623</v>
      </c>
      <c r="AX13" s="11">
        <v>56.0599999994039</v>
      </c>
      <c r="AY13" s="10">
        <v>2.16999999980131</v>
      </c>
      <c r="AZ13" s="10">
        <v>2.0399999996026299</v>
      </c>
      <c r="BA13" s="10">
        <v>2.1366666674613901</v>
      </c>
      <c r="BB13" s="10">
        <v>2.1433333337306899</v>
      </c>
      <c r="BC13" s="10">
        <v>2.2833333333333301</v>
      </c>
      <c r="BD13" s="10">
        <v>1.86666666666666</v>
      </c>
      <c r="BE13" s="12">
        <v>2526.3166666666598</v>
      </c>
      <c r="BF13" s="13">
        <v>393.26999999980097</v>
      </c>
      <c r="BG13" s="13">
        <v>691.39666666587198</v>
      </c>
      <c r="BH13" s="13">
        <v>387.26333333353199</v>
      </c>
      <c r="BI13" s="13">
        <v>372.186666666468</v>
      </c>
      <c r="BJ13" s="13">
        <v>239.956666667262</v>
      </c>
      <c r="BK13" s="14">
        <v>473.87000000079399</v>
      </c>
      <c r="BL13" s="14">
        <v>472.17666666706401</v>
      </c>
      <c r="BM13" s="14">
        <v>452.42333333392901</v>
      </c>
      <c r="BN13" s="14">
        <v>632.97666666706402</v>
      </c>
      <c r="BO13" s="14">
        <v>836.20333333313397</v>
      </c>
      <c r="BP13" s="14">
        <v>292.03000000019802</v>
      </c>
      <c r="BQ13" s="13">
        <v>2548.4933333327299</v>
      </c>
      <c r="BR13" s="13">
        <v>403.85</v>
      </c>
      <c r="BS13" s="13">
        <v>700.06666666666604</v>
      </c>
      <c r="BT13" s="13">
        <v>2226.27666666706</v>
      </c>
      <c r="BU13" s="13">
        <v>367.83999999960201</v>
      </c>
      <c r="BV13" s="13">
        <v>243.91333333353199</v>
      </c>
      <c r="BW13" s="14">
        <v>1332.40666666626</v>
      </c>
      <c r="BX13" s="14">
        <v>422.469999998807</v>
      </c>
      <c r="BY13" s="14">
        <v>440.89666666686497</v>
      </c>
      <c r="BZ13" s="14">
        <v>414.38000000019798</v>
      </c>
      <c r="CA13" s="14">
        <v>788.41333333353202</v>
      </c>
      <c r="CB13" s="14">
        <v>596.76333333353205</v>
      </c>
      <c r="CC13" s="13">
        <v>2099.0166666656701</v>
      </c>
      <c r="CD13" s="13">
        <v>799.17999999920505</v>
      </c>
      <c r="CE13" s="13">
        <v>535.61666666567305</v>
      </c>
      <c r="CF13" s="13">
        <v>239.16999999980101</v>
      </c>
      <c r="CG13" s="13">
        <v>373.89000000059599</v>
      </c>
      <c r="CH13" s="13">
        <v>392.63666666646799</v>
      </c>
      <c r="CI13" s="14">
        <v>484.1</v>
      </c>
      <c r="CJ13" s="14">
        <v>842.51999999880695</v>
      </c>
      <c r="CK13" s="14">
        <v>489.36333333353201</v>
      </c>
      <c r="CL13" s="14">
        <v>300.353333333134</v>
      </c>
      <c r="CM13" s="14">
        <v>642.33000000019797</v>
      </c>
      <c r="CN13" s="14">
        <v>452.18999999960198</v>
      </c>
    </row>
    <row r="14" spans="1:92" ht="16.5" thickTop="1" thickBot="1">
      <c r="A14" s="1"/>
      <c r="B14" s="1"/>
      <c r="C14" s="10">
        <v>0.94666666686534795</v>
      </c>
      <c r="D14" s="10">
        <v>0.95333333313465096</v>
      </c>
      <c r="E14" s="10">
        <v>0.99000000059604598</v>
      </c>
      <c r="F14" s="10">
        <v>0.713333333532015</v>
      </c>
      <c r="G14" s="10">
        <v>0.72999999920527103</v>
      </c>
      <c r="H14" s="10">
        <v>0.863333332538604</v>
      </c>
      <c r="I14" s="11">
        <v>47.433333333333302</v>
      </c>
      <c r="J14" s="11">
        <v>40.879999999205197</v>
      </c>
      <c r="K14" s="11">
        <v>48.616666666666603</v>
      </c>
      <c r="L14" s="11">
        <v>43.933333333333302</v>
      </c>
      <c r="M14" s="11">
        <v>43.760000000397298</v>
      </c>
      <c r="N14" s="11">
        <v>57.313333333532</v>
      </c>
      <c r="O14" s="10">
        <v>2.2533333331346501</v>
      </c>
      <c r="P14" s="10">
        <v>2</v>
      </c>
      <c r="Q14" s="10">
        <v>2.5066666662692998</v>
      </c>
      <c r="R14" s="10">
        <v>2.1233333329359598</v>
      </c>
      <c r="S14" s="10">
        <v>1.76333333353201</v>
      </c>
      <c r="T14" s="10">
        <v>1.90333333313465</v>
      </c>
      <c r="U14" s="11">
        <v>0.91333333353201496</v>
      </c>
      <c r="V14" s="11">
        <v>0.81999999980131699</v>
      </c>
      <c r="W14" s="11">
        <v>0.93000000019868201</v>
      </c>
      <c r="X14" s="11">
        <v>1.17000000079472</v>
      </c>
      <c r="Y14" s="11">
        <v>1.3333333333333299</v>
      </c>
      <c r="Z14" s="11">
        <v>0.82666666706403003</v>
      </c>
      <c r="AA14" s="10">
        <v>15.340000000596</v>
      </c>
      <c r="AB14" s="10">
        <v>10.480000000198601</v>
      </c>
      <c r="AC14" s="10">
        <v>13.216666666666599</v>
      </c>
      <c r="AD14" s="10">
        <v>17.293333332737198</v>
      </c>
      <c r="AE14" s="10">
        <v>13.273333333929299</v>
      </c>
      <c r="AF14" s="10">
        <v>13.7066666662693</v>
      </c>
      <c r="AG14" s="11">
        <v>1.9999999801317801E-2</v>
      </c>
      <c r="AH14" s="11">
        <v>1.6666666666666601E-2</v>
      </c>
      <c r="AI14" s="11">
        <v>1.33333335320154E-2</v>
      </c>
      <c r="AJ14" s="11">
        <v>4.0000000596046401E-2</v>
      </c>
      <c r="AK14" s="11">
        <v>1.6666666666666601E-2</v>
      </c>
      <c r="AL14" s="11">
        <v>3.6666666467984499E-2</v>
      </c>
      <c r="AM14" s="10">
        <v>0.45999999940395297</v>
      </c>
      <c r="AN14" s="10">
        <v>0.676666667064031</v>
      </c>
      <c r="AO14" s="10">
        <v>0.65999999940395304</v>
      </c>
      <c r="AP14" s="10">
        <v>1.16999999980131</v>
      </c>
      <c r="AQ14" s="10">
        <v>0.673333333929379</v>
      </c>
      <c r="AR14" s="10">
        <v>0.62000000079472795</v>
      </c>
      <c r="AS14" s="11">
        <v>48.723333333929297</v>
      </c>
      <c r="AT14" s="11">
        <v>47.513333333532003</v>
      </c>
      <c r="AU14" s="11">
        <v>40.193333333730699</v>
      </c>
      <c r="AV14" s="11">
        <v>49.993333332737201</v>
      </c>
      <c r="AW14" s="11">
        <v>33.962054396401065</v>
      </c>
      <c r="AX14" s="11">
        <v>58.286666665474499</v>
      </c>
      <c r="AY14" s="10">
        <v>2.1366666664679799</v>
      </c>
      <c r="AZ14" s="10">
        <v>2.1333333333333302</v>
      </c>
      <c r="BA14" s="10">
        <v>1.93333333333333</v>
      </c>
      <c r="BB14" s="10">
        <v>2.0133333335320098</v>
      </c>
      <c r="BC14" s="10">
        <v>2.4266666670640298</v>
      </c>
      <c r="BD14" s="10">
        <v>1.83666666646798</v>
      </c>
      <c r="BE14" s="12">
        <v>2490.56333333353</v>
      </c>
      <c r="BF14" s="13">
        <v>394.063333333532</v>
      </c>
      <c r="BG14" s="13">
        <v>690.21333333353198</v>
      </c>
      <c r="BH14" s="13">
        <v>389.58999999960201</v>
      </c>
      <c r="BI14" s="13">
        <v>373.44333333372998</v>
      </c>
      <c r="BJ14" s="13">
        <v>239.06666666666601</v>
      </c>
      <c r="BK14" s="14">
        <v>561.84000000059598</v>
      </c>
      <c r="BL14" s="14">
        <v>471.17666666606999</v>
      </c>
      <c r="BM14" s="14">
        <v>455.856666667262</v>
      </c>
      <c r="BN14" s="14">
        <v>633.81999999980098</v>
      </c>
      <c r="BO14" s="14">
        <v>836.10333333214101</v>
      </c>
      <c r="BP14" s="14">
        <v>291.92333333392901</v>
      </c>
      <c r="BQ14" s="13">
        <v>2477.4833333333299</v>
      </c>
      <c r="BR14" s="13">
        <v>403.91999999980101</v>
      </c>
      <c r="BS14" s="13">
        <v>697.42333333392901</v>
      </c>
      <c r="BT14" s="13">
        <v>1904.55333333412</v>
      </c>
      <c r="BU14" s="13">
        <v>366.86666666666599</v>
      </c>
      <c r="BV14" s="13">
        <v>247.17666666706401</v>
      </c>
      <c r="BW14" s="14">
        <v>1352.18666666646</v>
      </c>
      <c r="BX14" s="14">
        <v>439.84333333373002</v>
      </c>
      <c r="BY14" s="14">
        <v>441.40666666626902</v>
      </c>
      <c r="BZ14" s="14">
        <v>415.80333333412801</v>
      </c>
      <c r="CA14" s="14">
        <v>787.48000000019795</v>
      </c>
      <c r="CB14" s="14">
        <v>600.16000000039696</v>
      </c>
      <c r="CC14" s="13">
        <v>2043.5466666668599</v>
      </c>
      <c r="CD14" s="13">
        <v>792.85666666726195</v>
      </c>
      <c r="CE14" s="13">
        <v>536.07000000079404</v>
      </c>
      <c r="CF14" s="13">
        <v>239.66999999980101</v>
      </c>
      <c r="CG14" s="13">
        <v>375.223333332935</v>
      </c>
      <c r="CH14" s="13">
        <v>395.26666666666603</v>
      </c>
      <c r="CI14" s="14">
        <v>2006.4599999994</v>
      </c>
      <c r="CJ14" s="14">
        <v>845.88333333333298</v>
      </c>
      <c r="CK14" s="14">
        <v>520.65</v>
      </c>
      <c r="CL14" s="14">
        <v>290.39333333373003</v>
      </c>
      <c r="CM14" s="14">
        <v>706.063333333532</v>
      </c>
      <c r="CN14" s="14">
        <v>466.06333333253798</v>
      </c>
    </row>
    <row r="15" spans="1:92" ht="16.5" thickTop="1" thickBot="1">
      <c r="A15" s="1"/>
      <c r="B15" s="1"/>
      <c r="C15" s="10">
        <v>0.573333332935969</v>
      </c>
      <c r="D15" s="10">
        <v>0.86999999980131704</v>
      </c>
      <c r="E15" s="10">
        <v>0.58000000019868203</v>
      </c>
      <c r="F15" s="10">
        <v>0.613333332538604</v>
      </c>
      <c r="G15" s="10">
        <v>1.0100000003973599</v>
      </c>
      <c r="H15" s="10">
        <v>0.62000000079472795</v>
      </c>
      <c r="I15" s="11">
        <v>47.476666667064002</v>
      </c>
      <c r="J15" s="11">
        <v>40.783333333333303</v>
      </c>
      <c r="K15" s="11">
        <v>48.926666667063998</v>
      </c>
      <c r="L15" s="11">
        <v>42.346666665871901</v>
      </c>
      <c r="M15" s="11">
        <v>43.910000000397297</v>
      </c>
      <c r="N15" s="11">
        <v>59.863333333531997</v>
      </c>
      <c r="O15" s="10">
        <v>2.3866666664679799</v>
      </c>
      <c r="P15" s="10">
        <v>2.0099999994039499</v>
      </c>
      <c r="Q15" s="10">
        <v>2.32333333293596</v>
      </c>
      <c r="R15" s="10">
        <v>2.3433333337306901</v>
      </c>
      <c r="S15" s="10">
        <v>1.8933333337306899</v>
      </c>
      <c r="T15" s="10">
        <v>2.0133333335320098</v>
      </c>
      <c r="U15" s="11">
        <v>1.0066666662693</v>
      </c>
      <c r="V15" s="11">
        <v>0.91666666666666596</v>
      </c>
      <c r="W15" s="11">
        <v>0.81999999980131699</v>
      </c>
      <c r="X15" s="11">
        <v>0.63000000019868196</v>
      </c>
      <c r="Y15" s="11">
        <v>1.2966666668653399</v>
      </c>
      <c r="Z15" s="11">
        <v>1.35999999940395</v>
      </c>
      <c r="AA15" s="10">
        <v>15.389999999602599</v>
      </c>
      <c r="AB15" s="10">
        <v>10.6699999998013</v>
      </c>
      <c r="AC15" s="10">
        <v>13.096666665871901</v>
      </c>
      <c r="AD15" s="10">
        <v>17.736666666467901</v>
      </c>
      <c r="AE15" s="10">
        <v>13.316666666666601</v>
      </c>
      <c r="AF15" s="10">
        <v>13.3099999994039</v>
      </c>
      <c r="AG15" s="11">
        <v>2.3333333929379699E-2</v>
      </c>
      <c r="AH15" s="11">
        <v>3.0000000198682101E-2</v>
      </c>
      <c r="AI15" s="11">
        <v>2.66666670640309E-2</v>
      </c>
      <c r="AJ15" s="11">
        <v>4.3333332737286803E-2</v>
      </c>
      <c r="AK15" s="11">
        <v>1.6666666666666601E-2</v>
      </c>
      <c r="AL15" s="11">
        <v>1.9999999801317801E-2</v>
      </c>
      <c r="AM15" s="10">
        <v>0.53000000019868199</v>
      </c>
      <c r="AN15" s="10">
        <v>0.56000000039736397</v>
      </c>
      <c r="AO15" s="10">
        <v>0.71666666666666601</v>
      </c>
      <c r="AP15" s="10">
        <v>0.82666666507720898</v>
      </c>
      <c r="AQ15" s="10">
        <v>0.56666666666666599</v>
      </c>
      <c r="AR15" s="10">
        <v>0.55666666726271297</v>
      </c>
      <c r="AS15" s="11">
        <v>48.853333334128003</v>
      </c>
      <c r="AT15" s="11">
        <v>44.85</v>
      </c>
      <c r="AU15" s="11">
        <v>40.666666665673198</v>
      </c>
      <c r="AV15" s="11">
        <v>50.466666665673202</v>
      </c>
      <c r="AW15" s="11">
        <v>32.170123745123988</v>
      </c>
      <c r="AX15" s="11">
        <v>58.7933333337307</v>
      </c>
      <c r="AY15" s="10">
        <v>2.2899999996026299</v>
      </c>
      <c r="AZ15" s="10">
        <v>2.2599999994039499</v>
      </c>
      <c r="BA15" s="10">
        <v>2</v>
      </c>
      <c r="BB15" s="10">
        <v>2.0666666666666602</v>
      </c>
      <c r="BC15" s="10">
        <v>2.5933333337306901</v>
      </c>
      <c r="BD15" s="10">
        <v>1.77333333392937</v>
      </c>
      <c r="BE15" s="12">
        <v>2499.0133333335302</v>
      </c>
      <c r="BF15" s="13">
        <v>393.89666666686497</v>
      </c>
      <c r="BG15" s="13">
        <v>687.39666666686503</v>
      </c>
      <c r="BH15" s="13">
        <v>390.09666666686502</v>
      </c>
      <c r="BI15" s="13">
        <v>372.77333333293598</v>
      </c>
      <c r="BJ15" s="13">
        <v>238.89000000059599</v>
      </c>
      <c r="BK15" s="14">
        <v>483.71999999980102</v>
      </c>
      <c r="BL15" s="14">
        <v>470.5</v>
      </c>
      <c r="BM15" s="14">
        <v>453.17333333293499</v>
      </c>
      <c r="BN15" s="14">
        <v>631.08333333333303</v>
      </c>
      <c r="BO15" s="14">
        <v>834.26999999980103</v>
      </c>
      <c r="BP15" s="14">
        <v>292.163333332538</v>
      </c>
      <c r="BQ15" s="13">
        <v>2489.9833333333299</v>
      </c>
      <c r="BR15" s="13">
        <v>403.60666666626901</v>
      </c>
      <c r="BS15" s="13">
        <v>698.40666666726202</v>
      </c>
      <c r="BT15" s="13">
        <v>2559.5033333331298</v>
      </c>
      <c r="BU15" s="13">
        <v>368.31999999980098</v>
      </c>
      <c r="BV15" s="13">
        <v>245</v>
      </c>
      <c r="BW15" s="14">
        <v>1164.44666666686</v>
      </c>
      <c r="BX15" s="14">
        <v>443.18999999960198</v>
      </c>
      <c r="BY15" s="14">
        <v>442.52999999920502</v>
      </c>
      <c r="BZ15" s="14">
        <v>414.13000000019798</v>
      </c>
      <c r="CA15" s="14">
        <v>786.67666666606999</v>
      </c>
      <c r="CB15" s="14">
        <v>603.12000000079399</v>
      </c>
      <c r="CC15" s="13">
        <v>1966.9933333337301</v>
      </c>
      <c r="CD15" s="13">
        <v>796.48666666646795</v>
      </c>
      <c r="CE15" s="13">
        <v>536.02333333293598</v>
      </c>
      <c r="CF15" s="13">
        <v>239.13666666646799</v>
      </c>
      <c r="CG15" s="13">
        <v>374.75999999940302</v>
      </c>
      <c r="CH15" s="13">
        <v>393.74000000059601</v>
      </c>
      <c r="CI15" s="14">
        <v>485.22666666706402</v>
      </c>
      <c r="CJ15" s="14">
        <v>841.84666666686496</v>
      </c>
      <c r="CK15" s="14">
        <v>498.42333333293499</v>
      </c>
      <c r="CL15" s="14">
        <v>290.51333333353199</v>
      </c>
      <c r="CM15" s="14">
        <v>643.28333333333296</v>
      </c>
      <c r="CN15" s="14">
        <v>460.95</v>
      </c>
    </row>
    <row r="16" spans="1:92" ht="16.5" thickTop="1" thickBot="1">
      <c r="A16" s="1"/>
      <c r="B16" s="1"/>
      <c r="C16" s="10">
        <v>0.68666666646798402</v>
      </c>
      <c r="D16" s="10">
        <v>1.07333333194255</v>
      </c>
      <c r="E16" s="10">
        <v>0.73333333233992204</v>
      </c>
      <c r="F16" s="10">
        <v>1.20666666726271</v>
      </c>
      <c r="G16" s="10">
        <v>0.676666667064031</v>
      </c>
      <c r="H16" s="10">
        <v>0.52333333392937897</v>
      </c>
      <c r="I16" s="11">
        <v>47.316666666666599</v>
      </c>
      <c r="J16" s="11">
        <v>41.4</v>
      </c>
      <c r="K16" s="11">
        <v>48.6433333327372</v>
      </c>
      <c r="L16" s="11">
        <v>40.383333333333297</v>
      </c>
      <c r="M16" s="11">
        <v>43.753333334128001</v>
      </c>
      <c r="N16" s="11">
        <v>56.826666667064003</v>
      </c>
      <c r="O16" s="10">
        <v>1.99333333373069</v>
      </c>
      <c r="P16" s="10">
        <v>1.96333333353201</v>
      </c>
      <c r="Q16" s="10">
        <v>2.2666666666666599</v>
      </c>
      <c r="R16" s="10">
        <v>2.1333333333333302</v>
      </c>
      <c r="S16" s="10">
        <v>1.8799999992052701</v>
      </c>
      <c r="T16" s="10">
        <v>2.0533333331346499</v>
      </c>
      <c r="U16" s="11">
        <v>0.85666666626930199</v>
      </c>
      <c r="V16" s="11">
        <v>1.0333333333333301</v>
      </c>
      <c r="W16" s="11">
        <v>0.74333333373069699</v>
      </c>
      <c r="X16" s="11">
        <v>0.63999999960263498</v>
      </c>
      <c r="Y16" s="11">
        <v>1.0266666670640301</v>
      </c>
      <c r="Z16" s="11">
        <v>0.80666666626930195</v>
      </c>
      <c r="AA16" s="10">
        <v>15.386666666467899</v>
      </c>
      <c r="AB16" s="10">
        <v>10.446666666865299</v>
      </c>
      <c r="AC16" s="10">
        <v>13.2133333345254</v>
      </c>
      <c r="AD16" s="10">
        <v>17.2433333337306</v>
      </c>
      <c r="AE16" s="10">
        <v>13.323333332935899</v>
      </c>
      <c r="AF16" s="10">
        <v>13.380000000198599</v>
      </c>
      <c r="AG16" s="11">
        <v>2.6666666070620199E-2</v>
      </c>
      <c r="AH16" s="11">
        <v>1.6666666666666601E-2</v>
      </c>
      <c r="AI16" s="11">
        <v>1.6666666666666601E-2</v>
      </c>
      <c r="AJ16" s="11">
        <v>3.0000000198682101E-2</v>
      </c>
      <c r="AK16" s="11">
        <v>3.3333333333333298E-2</v>
      </c>
      <c r="AL16" s="11">
        <v>1.6666666666666601E-2</v>
      </c>
      <c r="AM16" s="10">
        <v>0.47666666706403099</v>
      </c>
      <c r="AN16" s="10">
        <v>0.67999999920527099</v>
      </c>
      <c r="AO16" s="10">
        <v>0.63000000019868196</v>
      </c>
      <c r="AP16" s="10">
        <v>0.926666667064031</v>
      </c>
      <c r="AQ16" s="10">
        <v>0.62666666706403096</v>
      </c>
      <c r="AR16" s="10">
        <v>0.66333333353201496</v>
      </c>
      <c r="AS16" s="11">
        <v>48.803333333134603</v>
      </c>
      <c r="AT16" s="11">
        <v>47.683333333333302</v>
      </c>
      <c r="AU16" s="11">
        <v>42.333333334326703</v>
      </c>
      <c r="AV16" s="11">
        <v>51.863333333531997</v>
      </c>
      <c r="AW16" s="11">
        <v>36.930561733265115</v>
      </c>
      <c r="AX16" s="11">
        <v>56.210000000397301</v>
      </c>
      <c r="AY16" s="10">
        <v>1.97666666607062</v>
      </c>
      <c r="AZ16" s="10">
        <v>1.9833333333333301</v>
      </c>
      <c r="BA16" s="10">
        <v>2.0933333327372798</v>
      </c>
      <c r="BB16" s="10">
        <v>2.0199999998013101</v>
      </c>
      <c r="BC16" s="10">
        <v>2.5533333331346499</v>
      </c>
      <c r="BD16" s="10">
        <v>1.8566666662693001</v>
      </c>
      <c r="BE16" s="12">
        <v>556.02333333293598</v>
      </c>
      <c r="BF16" s="13">
        <v>392.87333333293498</v>
      </c>
      <c r="BG16" s="13">
        <v>693.4</v>
      </c>
      <c r="BH16" s="13">
        <v>389.6</v>
      </c>
      <c r="BI16" s="13">
        <v>372.04000000059602</v>
      </c>
      <c r="BJ16" s="13">
        <v>239.313333334525</v>
      </c>
      <c r="BK16" s="14">
        <v>482.53333333333302</v>
      </c>
      <c r="BL16" s="14">
        <v>472.68333333432599</v>
      </c>
      <c r="BM16" s="14">
        <v>463.71000000039697</v>
      </c>
      <c r="BN16" s="14">
        <v>629.08000000019797</v>
      </c>
      <c r="BO16" s="14">
        <v>834.60666666626901</v>
      </c>
      <c r="BP16" s="14">
        <v>300.76000000039699</v>
      </c>
      <c r="BQ16" s="13">
        <v>2499.4333333333302</v>
      </c>
      <c r="BR16" s="13">
        <v>402.313333333532</v>
      </c>
      <c r="BS16" s="13">
        <v>699.60666666726195</v>
      </c>
      <c r="BT16" s="13">
        <v>1908.5233333339199</v>
      </c>
      <c r="BU16" s="13">
        <v>367.00666666626898</v>
      </c>
      <c r="BV16" s="13">
        <v>246.806666666269</v>
      </c>
      <c r="BW16" s="14">
        <v>1188.7333333343199</v>
      </c>
      <c r="BX16" s="14">
        <v>462.01666666567297</v>
      </c>
      <c r="BY16" s="14">
        <v>448.60666666626901</v>
      </c>
      <c r="BZ16" s="14">
        <v>432.876666667064</v>
      </c>
      <c r="CA16" s="14">
        <v>791.66666666666595</v>
      </c>
      <c r="CB16" s="14">
        <v>612.18333333333305</v>
      </c>
      <c r="CC16" s="13">
        <v>1967.1766666670601</v>
      </c>
      <c r="CD16" s="13">
        <v>792.08000000019797</v>
      </c>
      <c r="CE16" s="13">
        <v>533.82000000079404</v>
      </c>
      <c r="CF16" s="13">
        <v>240.52999999920499</v>
      </c>
      <c r="CG16" s="13">
        <v>375.54333333373</v>
      </c>
      <c r="CH16" s="13">
        <v>395.08000000019803</v>
      </c>
      <c r="CI16" s="14">
        <v>486.09666666686502</v>
      </c>
      <c r="CJ16" s="14">
        <v>844.63333333333298</v>
      </c>
      <c r="CK16" s="14">
        <v>494.63666666646799</v>
      </c>
      <c r="CL16" s="14">
        <v>290.44333333273698</v>
      </c>
      <c r="CM16" s="14">
        <v>643.95000000000005</v>
      </c>
      <c r="CN16" s="14">
        <v>451.61333333353201</v>
      </c>
    </row>
    <row r="17" spans="1:92" ht="16.5" thickTop="1" thickBot="1">
      <c r="A17" s="1"/>
      <c r="B17" s="1"/>
      <c r="C17" s="10">
        <v>0.61999999980131704</v>
      </c>
      <c r="D17" s="10">
        <v>0.57000000079472801</v>
      </c>
      <c r="E17" s="10">
        <v>0.58333333333333304</v>
      </c>
      <c r="F17" s="10">
        <v>0.88333333333333297</v>
      </c>
      <c r="G17" s="10">
        <v>0.85666666726271301</v>
      </c>
      <c r="H17" s="10">
        <v>0.46999999980131701</v>
      </c>
      <c r="I17" s="11">
        <v>47.656666666269302</v>
      </c>
      <c r="J17" s="11">
        <v>42.276666667063999</v>
      </c>
      <c r="K17" s="11">
        <v>48.723333332935901</v>
      </c>
      <c r="L17" s="11">
        <v>40.323333332935903</v>
      </c>
      <c r="M17" s="11">
        <v>43.7399999986092</v>
      </c>
      <c r="N17" s="11">
        <v>60.580000000198602</v>
      </c>
      <c r="O17" s="10">
        <v>2.89666666686534</v>
      </c>
      <c r="P17" s="10">
        <v>2.1733333329359601</v>
      </c>
      <c r="Q17" s="10">
        <v>2.3333333333333299</v>
      </c>
      <c r="R17" s="10">
        <v>2.1266666660706202</v>
      </c>
      <c r="S17" s="10">
        <v>1.7533333341280599</v>
      </c>
      <c r="T17" s="10">
        <v>1.9466666668653401</v>
      </c>
      <c r="U17" s="11">
        <v>1.0266666670640301</v>
      </c>
      <c r="V17" s="11">
        <v>0.79000000059604603</v>
      </c>
      <c r="W17" s="11">
        <v>0.88666666646798398</v>
      </c>
      <c r="X17" s="11">
        <v>0.63999999960263498</v>
      </c>
      <c r="Y17" s="11">
        <v>1.02333333392937</v>
      </c>
      <c r="Z17" s="11">
        <v>0.83333333333333304</v>
      </c>
      <c r="AA17" s="10">
        <v>15.276666667063999</v>
      </c>
      <c r="AB17" s="10">
        <v>10.4433333337306</v>
      </c>
      <c r="AC17" s="10">
        <v>14.8766666660706</v>
      </c>
      <c r="AD17" s="10">
        <v>18.303333334127998</v>
      </c>
      <c r="AE17" s="10">
        <v>13.2899999996026</v>
      </c>
      <c r="AF17" s="10">
        <v>14.2966666658719</v>
      </c>
      <c r="AG17" s="11">
        <v>3.0000000198682101E-2</v>
      </c>
      <c r="AH17" s="11">
        <v>1.9999999801317801E-2</v>
      </c>
      <c r="AI17" s="11">
        <v>1.33333335320154E-2</v>
      </c>
      <c r="AJ17" s="11">
        <v>2.99999992052714E-2</v>
      </c>
      <c r="AK17" s="11">
        <v>1.6666666666666601E-2</v>
      </c>
      <c r="AL17" s="11">
        <v>2.3333333929379699E-2</v>
      </c>
      <c r="AM17" s="10">
        <v>0.710000000397364</v>
      </c>
      <c r="AN17" s="10">
        <v>0.55666666626930195</v>
      </c>
      <c r="AO17" s="10">
        <v>0.65666666626930204</v>
      </c>
      <c r="AP17" s="10">
        <v>0.71666666666666601</v>
      </c>
      <c r="AQ17" s="10">
        <v>0.68666666646798402</v>
      </c>
      <c r="AR17" s="10">
        <v>0.60666666726271301</v>
      </c>
      <c r="AS17" s="11">
        <v>49.1766666650772</v>
      </c>
      <c r="AT17" s="11">
        <v>46.079999999205199</v>
      </c>
      <c r="AU17" s="11">
        <v>41.219999999801303</v>
      </c>
      <c r="AV17" s="11">
        <v>51.690000000596001</v>
      </c>
      <c r="AW17" s="11">
        <v>34.376555006991296</v>
      </c>
      <c r="AX17" s="11">
        <v>55.829999999205199</v>
      </c>
      <c r="AY17" s="10">
        <v>2.4266666670640298</v>
      </c>
      <c r="AZ17" s="10">
        <v>1.97000000079472</v>
      </c>
      <c r="BA17" s="10">
        <v>2.0033333331346501</v>
      </c>
      <c r="BB17" s="10">
        <v>2</v>
      </c>
      <c r="BC17" s="10">
        <v>2.37666666706403</v>
      </c>
      <c r="BD17" s="10">
        <v>1.71333333353201</v>
      </c>
      <c r="BE17" s="12">
        <v>552.47333333392896</v>
      </c>
      <c r="BF17" s="13">
        <v>396.306666666269</v>
      </c>
      <c r="BG17" s="13">
        <v>688.67333333293595</v>
      </c>
      <c r="BH17" s="13">
        <v>390.85999999940299</v>
      </c>
      <c r="BI17" s="13">
        <v>376.38333333333298</v>
      </c>
      <c r="BJ17" s="13">
        <v>239.54666666686501</v>
      </c>
      <c r="BK17" s="14">
        <v>473.170000000794</v>
      </c>
      <c r="BL17" s="14">
        <v>477.186666666468</v>
      </c>
      <c r="BM17" s="14">
        <v>455.31666666666598</v>
      </c>
      <c r="BN17" s="14">
        <v>631.19333333373004</v>
      </c>
      <c r="BO17" s="14">
        <v>836.563333333532</v>
      </c>
      <c r="BP17" s="14">
        <v>292.08666666646798</v>
      </c>
      <c r="BQ17" s="13">
        <v>2592.4566666662599</v>
      </c>
      <c r="BR17" s="13">
        <v>403.13999999960203</v>
      </c>
      <c r="BS17" s="13">
        <v>704.41000000039696</v>
      </c>
      <c r="BT17" s="13">
        <v>405.40333333313401</v>
      </c>
      <c r="BU17" s="13">
        <v>369.41333333353202</v>
      </c>
      <c r="BV17" s="13">
        <v>246.23666666646699</v>
      </c>
      <c r="BW17" s="14">
        <v>268.08666666646798</v>
      </c>
      <c r="BX17" s="14">
        <v>442.32333333392899</v>
      </c>
      <c r="BY17" s="14">
        <v>1959.5433333337301</v>
      </c>
      <c r="BZ17" s="14">
        <v>418.25999999940302</v>
      </c>
      <c r="CA17" s="14">
        <v>814.54666666686501</v>
      </c>
      <c r="CB17" s="14">
        <v>599.87666666607004</v>
      </c>
      <c r="CC17" s="13">
        <v>1999.9433333337299</v>
      </c>
      <c r="CD17" s="13">
        <v>798.74666666686505</v>
      </c>
      <c r="CE17" s="13">
        <v>536.86666666666599</v>
      </c>
      <c r="CF17" s="13">
        <v>238.916666666666</v>
      </c>
      <c r="CG17" s="13">
        <v>374.83666666746097</v>
      </c>
      <c r="CH17" s="13">
        <v>394.20666666626897</v>
      </c>
      <c r="CI17" s="14">
        <v>482.416666666666</v>
      </c>
      <c r="CJ17" s="14">
        <v>844.77999999920496</v>
      </c>
      <c r="CK17" s="14">
        <v>482.663333331545</v>
      </c>
      <c r="CL17" s="14">
        <v>290.17666666606999</v>
      </c>
      <c r="CM17" s="14">
        <v>642.87666666607004</v>
      </c>
      <c r="CN17" s="14">
        <v>463.70666666726203</v>
      </c>
    </row>
    <row r="18" spans="1:92" ht="16.5" thickTop="1" thickBot="1">
      <c r="A18" s="1"/>
      <c r="B18" s="1"/>
      <c r="C18" s="10">
        <v>1.0333333333333301</v>
      </c>
      <c r="D18" s="10">
        <v>1.1500000009934099</v>
      </c>
      <c r="E18" s="10">
        <v>0.79333333273728601</v>
      </c>
      <c r="F18" s="10">
        <v>0.710000000397364</v>
      </c>
      <c r="G18" s="10">
        <v>0.59666666686534797</v>
      </c>
      <c r="H18" s="10">
        <v>0.5</v>
      </c>
      <c r="I18" s="11">
        <v>47.310000000397302</v>
      </c>
      <c r="J18" s="11">
        <v>40.973333332935901</v>
      </c>
      <c r="K18" s="11">
        <v>48.5433333337307</v>
      </c>
      <c r="L18" s="11">
        <v>40.340000000596</v>
      </c>
      <c r="M18" s="11">
        <v>43.813333333532</v>
      </c>
      <c r="N18" s="11">
        <v>59.016666667659997</v>
      </c>
      <c r="O18" s="10">
        <v>2.1199999998013102</v>
      </c>
      <c r="P18" s="10">
        <v>2.0999999990065801</v>
      </c>
      <c r="Q18" s="10">
        <v>3.0333333333333301</v>
      </c>
      <c r="R18" s="10">
        <v>2.2599999994039499</v>
      </c>
      <c r="S18" s="10">
        <v>1.6866666674613899</v>
      </c>
      <c r="T18" s="10">
        <v>1.96999999980131</v>
      </c>
      <c r="U18" s="11">
        <v>0.963333333532015</v>
      </c>
      <c r="V18" s="11">
        <v>0.75333333313465101</v>
      </c>
      <c r="W18" s="11">
        <v>0.76666666666666605</v>
      </c>
      <c r="X18" s="11">
        <v>0.65999999940395304</v>
      </c>
      <c r="Y18" s="11">
        <v>1.1733333329359601</v>
      </c>
      <c r="Z18" s="11">
        <v>0.74666666686534799</v>
      </c>
      <c r="AA18" s="10">
        <v>15.386666666467899</v>
      </c>
      <c r="AB18" s="10">
        <v>10.4300000001986</v>
      </c>
      <c r="AC18" s="10">
        <v>16.783333333333299</v>
      </c>
      <c r="AD18" s="10">
        <v>17.163333333532002</v>
      </c>
      <c r="AE18" s="10">
        <v>13.3</v>
      </c>
      <c r="AF18" s="10">
        <v>13.726666667064</v>
      </c>
      <c r="AG18" s="11">
        <v>1.9999999801317801E-2</v>
      </c>
      <c r="AH18" s="11">
        <v>1.9999999801317801E-2</v>
      </c>
      <c r="AI18" s="11">
        <v>1.9999999801317801E-2</v>
      </c>
      <c r="AJ18" s="11">
        <v>2.6666666070620199E-2</v>
      </c>
      <c r="AK18" s="11">
        <v>1.6666666666666601E-2</v>
      </c>
      <c r="AL18" s="11">
        <v>1.33333335320154E-2</v>
      </c>
      <c r="AM18" s="10">
        <v>0.51333333353201505</v>
      </c>
      <c r="AN18" s="10">
        <v>0.71999999781449597</v>
      </c>
      <c r="AO18" s="10">
        <v>0.68666666746139504</v>
      </c>
      <c r="AP18" s="10">
        <v>0.79333333373069703</v>
      </c>
      <c r="AQ18" s="10">
        <v>0.640000000596046</v>
      </c>
      <c r="AR18" s="10">
        <v>0.57666666607062</v>
      </c>
      <c r="AS18" s="11">
        <v>48.803333333134603</v>
      </c>
      <c r="AT18" s="11">
        <v>45.086666665474503</v>
      </c>
      <c r="AU18" s="11">
        <v>40.15</v>
      </c>
      <c r="AV18" s="11">
        <v>50.386666667461398</v>
      </c>
      <c r="AW18" s="11">
        <v>39.56036568690314</v>
      </c>
      <c r="AX18" s="11">
        <v>55.880000000198599</v>
      </c>
      <c r="AY18" s="10">
        <v>2.1433333337306899</v>
      </c>
      <c r="AZ18" s="10">
        <v>1.95</v>
      </c>
      <c r="BA18" s="10">
        <v>1.91333333353201</v>
      </c>
      <c r="BB18" s="10">
        <v>2.4066666672627099</v>
      </c>
      <c r="BC18" s="10">
        <v>2.2966666668653399</v>
      </c>
      <c r="BD18" s="10">
        <v>1.72000000079472</v>
      </c>
      <c r="BE18" s="12">
        <v>537.00666666626898</v>
      </c>
      <c r="BF18" s="13">
        <v>394.563333333532</v>
      </c>
      <c r="BG18" s="13">
        <v>691.89666666686503</v>
      </c>
      <c r="BH18" s="13">
        <v>392.36666666666599</v>
      </c>
      <c r="BI18" s="13">
        <v>374.20666666726203</v>
      </c>
      <c r="BJ18" s="13">
        <v>238.606666667262</v>
      </c>
      <c r="BK18" s="14">
        <v>484.46999999980102</v>
      </c>
      <c r="BL18" s="14">
        <v>471.753333334128</v>
      </c>
      <c r="BM18" s="14">
        <v>452</v>
      </c>
      <c r="BN18" s="14">
        <v>636.25666666626898</v>
      </c>
      <c r="BO18" s="14">
        <v>833.83000000019797</v>
      </c>
      <c r="BP18" s="14">
        <v>293.64999999999998</v>
      </c>
      <c r="BQ18" s="13">
        <v>2480.8433333337298</v>
      </c>
      <c r="BR18" s="13">
        <v>401.96999999980102</v>
      </c>
      <c r="BS18" s="13">
        <v>701.66000000039696</v>
      </c>
      <c r="BT18" s="13">
        <v>469.813333333532</v>
      </c>
      <c r="BU18" s="13">
        <v>368.670000000794</v>
      </c>
      <c r="BV18" s="13">
        <v>247.68999999960201</v>
      </c>
      <c r="BW18" s="14">
        <v>272.26999999880701</v>
      </c>
      <c r="BX18" s="14">
        <v>439.29000000059602</v>
      </c>
      <c r="BY18" s="14">
        <v>1940.2333333333299</v>
      </c>
      <c r="BZ18" s="14">
        <v>408.53000000019802</v>
      </c>
      <c r="CA18" s="14">
        <v>794.05333333313399</v>
      </c>
      <c r="CB18" s="14">
        <v>600.5</v>
      </c>
      <c r="CC18" s="13">
        <v>2198.7033333341201</v>
      </c>
      <c r="CD18" s="13">
        <v>804.28000000019802</v>
      </c>
      <c r="CE18" s="13">
        <v>537.03333333333296</v>
      </c>
      <c r="CF18" s="13">
        <v>240.119999999801</v>
      </c>
      <c r="CG18" s="13">
        <v>1744.3366666664599</v>
      </c>
      <c r="CH18" s="13">
        <v>445.82000000079398</v>
      </c>
      <c r="CI18" s="14">
        <v>472.59333333373002</v>
      </c>
      <c r="CJ18" s="14">
        <v>841.47333333392896</v>
      </c>
      <c r="CK18" s="14">
        <v>473.940000000596</v>
      </c>
      <c r="CL18" s="14">
        <v>291.39666666587101</v>
      </c>
      <c r="CM18" s="14">
        <v>642.24333333273705</v>
      </c>
      <c r="CN18" s="14">
        <v>451.940000000596</v>
      </c>
    </row>
    <row r="19" spans="1:92" ht="16.5" thickTop="1" thickBot="1">
      <c r="A19" s="1"/>
      <c r="B19" s="1"/>
      <c r="C19" s="10">
        <v>0.66999999980131697</v>
      </c>
      <c r="D19" s="10">
        <v>0.63333333333333297</v>
      </c>
      <c r="E19" s="10">
        <v>0.63000000019868196</v>
      </c>
      <c r="F19" s="10">
        <v>0.75999999940395302</v>
      </c>
      <c r="G19" s="10">
        <v>0.95666666726271299</v>
      </c>
      <c r="H19" s="10">
        <v>0.47666666706403099</v>
      </c>
      <c r="I19" s="11">
        <v>47.360000000397299</v>
      </c>
      <c r="J19" s="11">
        <v>40.980000001192003</v>
      </c>
      <c r="K19" s="11">
        <v>48.619999999801301</v>
      </c>
      <c r="L19" s="11">
        <v>40.336666666467899</v>
      </c>
      <c r="M19" s="11">
        <v>44.736666666467897</v>
      </c>
      <c r="N19" s="11">
        <v>57.130000000198599</v>
      </c>
      <c r="O19" s="10">
        <v>3.2899999996026299</v>
      </c>
      <c r="P19" s="10">
        <v>2.13999999960263</v>
      </c>
      <c r="Q19" s="10">
        <v>2.3066666672627099</v>
      </c>
      <c r="R19" s="10">
        <v>3.1566666672627099</v>
      </c>
      <c r="S19" s="10">
        <v>1.7766666670640301</v>
      </c>
      <c r="T19" s="10">
        <v>2.1566666662693001</v>
      </c>
      <c r="U19" s="11">
        <v>0.90999999940395304</v>
      </c>
      <c r="V19" s="11">
        <v>0.97333333392937904</v>
      </c>
      <c r="W19" s="11">
        <v>0.76333333253860403</v>
      </c>
      <c r="X19" s="11">
        <v>0.63333333333333297</v>
      </c>
      <c r="Y19" s="11">
        <v>1.0833333333333299</v>
      </c>
      <c r="Z19" s="11">
        <v>0.74666666686534799</v>
      </c>
      <c r="AA19" s="10">
        <v>16</v>
      </c>
      <c r="AB19" s="10">
        <v>10.630000000198599</v>
      </c>
      <c r="AC19" s="10">
        <v>14.2933333327372</v>
      </c>
      <c r="AD19" s="10">
        <v>18.513333333532</v>
      </c>
      <c r="AE19" s="10">
        <v>13.3</v>
      </c>
      <c r="AF19" s="10">
        <v>13.303333333134599</v>
      </c>
      <c r="AG19" s="11">
        <v>2.3333332935968999E-2</v>
      </c>
      <c r="AH19" s="11">
        <v>9.9999994039535502E-3</v>
      </c>
      <c r="AI19" s="11">
        <v>2.3333332935968999E-2</v>
      </c>
      <c r="AJ19" s="11">
        <v>3.6666666467984499E-2</v>
      </c>
      <c r="AK19" s="11">
        <v>1.6666666666666601E-2</v>
      </c>
      <c r="AL19" s="11">
        <v>1.33333335320154E-2</v>
      </c>
      <c r="AM19" s="10">
        <v>0.73333333333333295</v>
      </c>
      <c r="AN19" s="10">
        <v>0.56666666567325596</v>
      </c>
      <c r="AO19" s="10">
        <v>0.63999999960263498</v>
      </c>
      <c r="AP19" s="10">
        <v>0.70999999940395297</v>
      </c>
      <c r="AQ19" s="10">
        <v>0.64666666686534802</v>
      </c>
      <c r="AR19" s="10">
        <v>0.59666666686534797</v>
      </c>
      <c r="AS19" s="11">
        <v>50.916666665673198</v>
      </c>
      <c r="AT19" s="11">
        <v>45.163333333532002</v>
      </c>
      <c r="AU19" s="11">
        <v>40.366666666666603</v>
      </c>
      <c r="AV19" s="11">
        <v>50.440000000596001</v>
      </c>
      <c r="AW19" s="11">
        <v>42.013106326240049</v>
      </c>
      <c r="AX19" s="11">
        <v>56.5433333337307</v>
      </c>
      <c r="AY19" s="10">
        <v>2.28000000019868</v>
      </c>
      <c r="AZ19" s="10">
        <v>2.0733333339293698</v>
      </c>
      <c r="BA19" s="10">
        <v>2.12333333194255</v>
      </c>
      <c r="BB19" s="10">
        <v>2.06000000039736</v>
      </c>
      <c r="BC19" s="10">
        <v>2.38999999960263</v>
      </c>
      <c r="BD19" s="10">
        <v>1.75</v>
      </c>
      <c r="BE19" s="12">
        <v>533.75</v>
      </c>
      <c r="BF19" s="13">
        <v>396.96000000039697</v>
      </c>
      <c r="BG19" s="13">
        <v>689.62333333392905</v>
      </c>
      <c r="BH19" s="13">
        <v>392.04666666587099</v>
      </c>
      <c r="BI19" s="13">
        <v>373.5</v>
      </c>
      <c r="BJ19" s="13">
        <v>243</v>
      </c>
      <c r="BK19" s="14">
        <v>484.02333333194201</v>
      </c>
      <c r="BL19" s="14">
        <v>476.33333333233901</v>
      </c>
      <c r="BM19" s="14">
        <v>454.63333333333298</v>
      </c>
      <c r="BN19" s="14">
        <v>630.48333333333301</v>
      </c>
      <c r="BO19" s="14">
        <v>832.98666666646795</v>
      </c>
      <c r="BP19" s="14">
        <v>302.70999999940398</v>
      </c>
      <c r="BQ19" s="13">
        <v>2492.08000000019</v>
      </c>
      <c r="BR19" s="13">
        <v>399.7</v>
      </c>
      <c r="BS19" s="13">
        <v>699.09333333373002</v>
      </c>
      <c r="BT19" s="13">
        <v>396.32333333392899</v>
      </c>
      <c r="BU19" s="13">
        <v>369.52333333392897</v>
      </c>
      <c r="BV19" s="13">
        <v>247.810000000397</v>
      </c>
      <c r="BW19" s="14">
        <v>268.54333333273701</v>
      </c>
      <c r="BX19" s="14">
        <v>440.88000000019798</v>
      </c>
      <c r="BY19" s="14">
        <v>2038.31333333353</v>
      </c>
      <c r="BZ19" s="14">
        <v>416.119999999801</v>
      </c>
      <c r="CA19" s="14">
        <v>786.92000000079395</v>
      </c>
      <c r="CB19" s="14">
        <v>604.90666666626896</v>
      </c>
      <c r="CC19" s="13">
        <v>2163.3966666658698</v>
      </c>
      <c r="CD19" s="13">
        <v>796.95333333412805</v>
      </c>
      <c r="CE19" s="13">
        <v>535.46333333353198</v>
      </c>
      <c r="CF19" s="13">
        <v>238.67333333293499</v>
      </c>
      <c r="CG19" s="13">
        <v>1718.66000000039</v>
      </c>
      <c r="CH19" s="13">
        <v>395.15</v>
      </c>
      <c r="CI19" s="14">
        <v>482.5</v>
      </c>
      <c r="CJ19" s="14">
        <v>844.60666666626901</v>
      </c>
      <c r="CK19" s="14">
        <v>482.89333333273697</v>
      </c>
      <c r="CL19" s="14">
        <v>290.38333333333298</v>
      </c>
      <c r="CM19" s="14">
        <v>646.41333333353202</v>
      </c>
      <c r="CN19" s="14">
        <v>462.89999999900601</v>
      </c>
    </row>
    <row r="20" spans="1:92" ht="16.5" thickTop="1" thickBot="1">
      <c r="A20" s="1"/>
      <c r="B20" s="1"/>
      <c r="C20" s="10">
        <v>0.890000000596046</v>
      </c>
      <c r="D20" s="10">
        <v>1.05</v>
      </c>
      <c r="E20" s="10">
        <v>0.90333333313465103</v>
      </c>
      <c r="F20" s="10">
        <v>0.84333333273728595</v>
      </c>
      <c r="G20" s="10">
        <v>0.62333333392937895</v>
      </c>
      <c r="H20" s="10">
        <v>0.77333333293596895</v>
      </c>
      <c r="I20" s="11">
        <v>47.373333333929303</v>
      </c>
      <c r="J20" s="11">
        <v>41.190000000596001</v>
      </c>
      <c r="K20" s="11">
        <v>48.660000000397297</v>
      </c>
      <c r="L20" s="11">
        <v>40.576666667064003</v>
      </c>
      <c r="M20" s="11">
        <v>43.8</v>
      </c>
      <c r="N20" s="11">
        <v>57.9233333339293</v>
      </c>
      <c r="O20" s="10">
        <v>2.21333333353201</v>
      </c>
      <c r="P20" s="10">
        <v>2.0099999994039499</v>
      </c>
      <c r="Q20" s="10">
        <v>2.5766666670640301</v>
      </c>
      <c r="R20" s="10">
        <v>2.1800000001986799</v>
      </c>
      <c r="S20" s="10">
        <v>2.0633333335320101</v>
      </c>
      <c r="T20" s="10">
        <v>2.0966666668653402</v>
      </c>
      <c r="U20" s="11">
        <v>1.0033333331346499</v>
      </c>
      <c r="V20" s="11">
        <v>0.77999999920527097</v>
      </c>
      <c r="W20" s="11">
        <v>1.1000000000000001</v>
      </c>
      <c r="X20" s="11">
        <v>0.66666666666666596</v>
      </c>
      <c r="Y20" s="11">
        <v>1.11666666666666</v>
      </c>
      <c r="Z20" s="11">
        <v>0.76666666666666605</v>
      </c>
      <c r="AA20" s="10">
        <v>15.3466666668653</v>
      </c>
      <c r="AB20" s="10">
        <v>10.5199999998013</v>
      </c>
      <c r="AC20" s="10">
        <v>13.133333333333301</v>
      </c>
      <c r="AD20" s="10">
        <v>17.653333333134601</v>
      </c>
      <c r="AE20" s="10">
        <v>13.290000000596001</v>
      </c>
      <c r="AF20" s="10">
        <v>13.5199999998013</v>
      </c>
      <c r="AG20" s="11">
        <v>1.6666666666666601E-2</v>
      </c>
      <c r="AH20" s="11">
        <v>1.6666666666666601E-2</v>
      </c>
      <c r="AI20" s="11">
        <v>1.33333335320154E-2</v>
      </c>
      <c r="AJ20" s="11">
        <v>3.3333333333333298E-2</v>
      </c>
      <c r="AK20" s="11">
        <v>1.33333335320154E-2</v>
      </c>
      <c r="AL20" s="11">
        <v>2.3333332935968999E-2</v>
      </c>
      <c r="AM20" s="10">
        <v>0.46999999980131701</v>
      </c>
      <c r="AN20" s="10">
        <v>0.6</v>
      </c>
      <c r="AO20" s="10">
        <v>0.70333333412806198</v>
      </c>
      <c r="AP20" s="10">
        <v>0.93000000019868201</v>
      </c>
      <c r="AQ20" s="10">
        <v>0.75</v>
      </c>
      <c r="AR20" s="10">
        <v>0.6</v>
      </c>
      <c r="AS20" s="11">
        <v>48.913333333532002</v>
      </c>
      <c r="AT20" s="11">
        <v>44.886666666467903</v>
      </c>
      <c r="AU20" s="11">
        <v>41.886666666467903</v>
      </c>
      <c r="AV20" s="11">
        <v>52.183333332339899</v>
      </c>
      <c r="AW20" s="11">
        <v>41.176939886536211</v>
      </c>
      <c r="AX20" s="11">
        <v>55.906666666269302</v>
      </c>
      <c r="AY20" s="10">
        <v>2.2400000005960399</v>
      </c>
      <c r="AZ20" s="10">
        <v>1.9299999992052701</v>
      </c>
      <c r="BA20" s="10">
        <v>1.90333333313465</v>
      </c>
      <c r="BB20" s="10">
        <v>1.9799999992052699</v>
      </c>
      <c r="BC20" s="10">
        <v>2.41333333452542</v>
      </c>
      <c r="BD20" s="10">
        <v>1.76333333353201</v>
      </c>
      <c r="BE20" s="12">
        <v>537.92333333392901</v>
      </c>
      <c r="BF20" s="13">
        <v>394.683333333333</v>
      </c>
      <c r="BG20" s="13">
        <v>693.54000000059602</v>
      </c>
      <c r="BH20" s="13">
        <v>393.34000000059598</v>
      </c>
      <c r="BI20" s="13">
        <v>373.289999999602</v>
      </c>
      <c r="BJ20" s="13">
        <v>240.3</v>
      </c>
      <c r="BK20" s="14">
        <v>482.18000000019799</v>
      </c>
      <c r="BL20" s="14">
        <v>472.54333333373</v>
      </c>
      <c r="BM20" s="14">
        <v>453.409999999403</v>
      </c>
      <c r="BN20" s="14">
        <v>629.64000000059605</v>
      </c>
      <c r="BO20" s="14">
        <v>835.11666666666599</v>
      </c>
      <c r="BP20" s="14">
        <v>308.123333333929</v>
      </c>
      <c r="BQ20" s="13">
        <v>2495.9233333339198</v>
      </c>
      <c r="BR20" s="13">
        <v>402.23333333432601</v>
      </c>
      <c r="BS20" s="13">
        <v>699.46000000039703</v>
      </c>
      <c r="BT20" s="13">
        <v>390.34000000059598</v>
      </c>
      <c r="BU20" s="13">
        <v>369.09333333373002</v>
      </c>
      <c r="BV20" s="13">
        <v>249.29666666686501</v>
      </c>
      <c r="BW20" s="14">
        <v>264.46000000039697</v>
      </c>
      <c r="BX20" s="14">
        <v>435.56999999980098</v>
      </c>
      <c r="BY20" s="14">
        <v>440.35</v>
      </c>
      <c r="BZ20" s="14">
        <v>423.01999999980097</v>
      </c>
      <c r="CA20" s="14">
        <v>788.063333333532</v>
      </c>
      <c r="CB20" s="14">
        <v>602.73333333333301</v>
      </c>
      <c r="CC20" s="13">
        <v>2460.6533333331299</v>
      </c>
      <c r="CD20" s="13">
        <v>794.469999998807</v>
      </c>
      <c r="CE20" s="13">
        <v>534.58333333333303</v>
      </c>
      <c r="CF20" s="13">
        <v>238.05333333313399</v>
      </c>
      <c r="CG20" s="13">
        <v>1749.19666666686</v>
      </c>
      <c r="CH20" s="13">
        <v>394.15666666626902</v>
      </c>
      <c r="CI20" s="14">
        <v>552.27333333392903</v>
      </c>
      <c r="CJ20" s="14">
        <v>843.27333333293598</v>
      </c>
      <c r="CK20" s="14">
        <v>485.61333333353201</v>
      </c>
      <c r="CL20" s="14">
        <v>290.57333333392899</v>
      </c>
      <c r="CM20" s="14">
        <v>641.31666666766</v>
      </c>
      <c r="CN20" s="14">
        <v>452.28000000019802</v>
      </c>
    </row>
    <row r="21" spans="1:92" ht="16.5" thickTop="1" thickBot="1">
      <c r="A21" s="1"/>
      <c r="B21" s="1"/>
      <c r="C21" s="10">
        <v>0.59333333373069697</v>
      </c>
      <c r="D21" s="10">
        <v>0.65999999940395304</v>
      </c>
      <c r="E21" s="10">
        <v>0.86666666766007705</v>
      </c>
      <c r="F21" s="10">
        <v>0.68000000019868201</v>
      </c>
      <c r="G21" s="10">
        <v>0.963333333532015</v>
      </c>
      <c r="H21" s="10">
        <v>0.47666666607062003</v>
      </c>
      <c r="I21" s="11">
        <v>47.356666667262701</v>
      </c>
      <c r="J21" s="11">
        <v>41.113333333531997</v>
      </c>
      <c r="K21" s="11">
        <v>48.75</v>
      </c>
      <c r="L21" s="11">
        <v>40.073333333929298</v>
      </c>
      <c r="M21" s="11">
        <v>43.823333332935903</v>
      </c>
      <c r="N21" s="11">
        <v>58.136666666467903</v>
      </c>
      <c r="O21" s="10">
        <v>2.0033333331346501</v>
      </c>
      <c r="P21" s="10">
        <v>2.1466666658719298</v>
      </c>
      <c r="Q21" s="10">
        <v>2.3866666664679799</v>
      </c>
      <c r="R21" s="10">
        <v>2.1433333337306899</v>
      </c>
      <c r="S21" s="10">
        <v>1.70666666726271</v>
      </c>
      <c r="T21" s="10">
        <v>2.1899999996026298</v>
      </c>
      <c r="U21" s="11">
        <v>1.37666666706403</v>
      </c>
      <c r="V21" s="11">
        <v>0.81333333253860396</v>
      </c>
      <c r="W21" s="11">
        <v>0.74333333273728597</v>
      </c>
      <c r="X21" s="11">
        <v>0.77666666607061996</v>
      </c>
      <c r="Y21" s="11">
        <v>1.1366666664679801</v>
      </c>
      <c r="Z21" s="11">
        <v>0.73000000019868205</v>
      </c>
      <c r="AA21" s="10">
        <v>16.173333332935901</v>
      </c>
      <c r="AB21" s="10">
        <v>10.4433333327372</v>
      </c>
      <c r="AC21" s="10">
        <v>13.383333333333301</v>
      </c>
      <c r="AD21" s="10">
        <v>17.233333333333299</v>
      </c>
      <c r="AE21" s="10">
        <v>13.3533333331346</v>
      </c>
      <c r="AF21" s="10">
        <v>14.6066666662693</v>
      </c>
      <c r="AG21" s="11">
        <v>1.3333332538604701E-2</v>
      </c>
      <c r="AH21" s="11">
        <v>1.6666666666666601E-2</v>
      </c>
      <c r="AI21" s="11">
        <v>1.6666666666666601E-2</v>
      </c>
      <c r="AJ21" s="11">
        <v>3.0000000198682101E-2</v>
      </c>
      <c r="AK21" s="11">
        <v>1.6666666666666601E-2</v>
      </c>
      <c r="AL21" s="11">
        <v>1.6666666666666601E-2</v>
      </c>
      <c r="AM21" s="10">
        <v>0.54666666587193802</v>
      </c>
      <c r="AN21" s="10">
        <v>0.676666667064031</v>
      </c>
      <c r="AO21" s="10">
        <v>0.63000000019868196</v>
      </c>
      <c r="AP21" s="10">
        <v>0.676666667064031</v>
      </c>
      <c r="AQ21" s="10">
        <v>0.57666666706403003</v>
      </c>
      <c r="AR21" s="10">
        <v>0.67999999920527099</v>
      </c>
      <c r="AS21" s="11">
        <v>48.876666667064001</v>
      </c>
      <c r="AT21" s="11">
        <v>45.123333333929303</v>
      </c>
      <c r="AU21" s="11">
        <v>41.476666667064002</v>
      </c>
      <c r="AV21" s="11">
        <v>52.243333333730597</v>
      </c>
      <c r="AW21" s="11">
        <v>37.57513558561574</v>
      </c>
      <c r="AX21" s="11">
        <v>56.440000000596001</v>
      </c>
      <c r="AY21" s="10">
        <v>2.1633333335320102</v>
      </c>
      <c r="AZ21" s="10">
        <v>2.0933333327372798</v>
      </c>
      <c r="BA21" s="10">
        <v>1.9066666672627099</v>
      </c>
      <c r="BB21" s="10">
        <v>2.02333333392937</v>
      </c>
      <c r="BC21" s="10">
        <v>2.3966666658719298</v>
      </c>
      <c r="BD21" s="10">
        <v>1.7166666666666599</v>
      </c>
      <c r="BE21" s="12">
        <v>539.66333333253795</v>
      </c>
      <c r="BF21" s="13">
        <v>393.02333333293598</v>
      </c>
      <c r="BG21" s="13">
        <v>689.76999999980103</v>
      </c>
      <c r="BH21" s="13">
        <v>391.056666666269</v>
      </c>
      <c r="BI21" s="13">
        <v>373.42333333293499</v>
      </c>
      <c r="BJ21" s="13">
        <v>238.93000000019799</v>
      </c>
      <c r="BK21" s="14">
        <v>504.433333333333</v>
      </c>
      <c r="BL21" s="14">
        <v>472.1</v>
      </c>
      <c r="BM21" s="14">
        <v>456.98333333333301</v>
      </c>
      <c r="BN21" s="14">
        <v>628.05666666726199</v>
      </c>
      <c r="BO21" s="14">
        <v>832.69333333373004</v>
      </c>
      <c r="BP21" s="14">
        <v>291.61000000039701</v>
      </c>
      <c r="BQ21" s="13">
        <v>2550.6566666672602</v>
      </c>
      <c r="BR21" s="13">
        <v>403.43333333432599</v>
      </c>
      <c r="BS21" s="13">
        <v>698.186666666468</v>
      </c>
      <c r="BT21" s="13">
        <v>388.96333333353198</v>
      </c>
      <c r="BU21" s="13">
        <v>369.38666666646799</v>
      </c>
      <c r="BV21" s="13">
        <v>247.34333333273699</v>
      </c>
      <c r="BW21" s="14">
        <v>271.58999999960201</v>
      </c>
      <c r="BX21" s="14">
        <v>433.78000000019802</v>
      </c>
      <c r="BY21" s="14">
        <v>438.56666666666598</v>
      </c>
      <c r="BZ21" s="14">
        <v>433.00333333313398</v>
      </c>
      <c r="CA21" s="14">
        <v>788.23000000019795</v>
      </c>
      <c r="CB21" s="14">
        <v>611.14000000059605</v>
      </c>
      <c r="CC21" s="13">
        <v>2227.2666666666601</v>
      </c>
      <c r="CD21" s="13">
        <v>808.50333333313404</v>
      </c>
      <c r="CE21" s="13">
        <v>537.93000000019799</v>
      </c>
      <c r="CF21" s="13">
        <v>237.88333333432601</v>
      </c>
      <c r="CG21" s="13">
        <v>2065.9866666674602</v>
      </c>
      <c r="CH21" s="13">
        <v>391.85999999940299</v>
      </c>
      <c r="CI21" s="14">
        <v>474.07333333293599</v>
      </c>
      <c r="CJ21" s="14">
        <v>1235.04000000059</v>
      </c>
      <c r="CK21" s="14">
        <v>482.84666666686502</v>
      </c>
      <c r="CL21" s="14">
        <v>290.39666666686497</v>
      </c>
      <c r="CM21" s="14">
        <v>642.35666666726195</v>
      </c>
      <c r="CN21" s="14">
        <v>462.35333333412802</v>
      </c>
    </row>
    <row r="22" spans="1:92" ht="16.5" thickTop="1" thickBot="1">
      <c r="A22" s="1"/>
      <c r="B22" s="1"/>
      <c r="C22" s="10">
        <v>1.0066666662693</v>
      </c>
      <c r="D22" s="10">
        <v>1.06666666666666</v>
      </c>
      <c r="E22" s="10">
        <v>0.66666666666666596</v>
      </c>
      <c r="F22" s="10">
        <v>0.83000000019868203</v>
      </c>
      <c r="G22" s="10">
        <v>0.59000000059604596</v>
      </c>
      <c r="H22" s="10">
        <v>0.68000000019868201</v>
      </c>
      <c r="I22" s="11">
        <v>47.316666667660002</v>
      </c>
      <c r="J22" s="11">
        <v>40.773333333929301</v>
      </c>
      <c r="K22" s="11">
        <v>48.580000000198602</v>
      </c>
      <c r="L22" s="11">
        <v>40.096666665871901</v>
      </c>
      <c r="M22" s="11">
        <v>43.769999998807897</v>
      </c>
      <c r="N22" s="11">
        <v>57.869999999801301</v>
      </c>
      <c r="O22" s="10">
        <v>1.9499999990065799</v>
      </c>
      <c r="P22" s="10">
        <v>2.1333333333333302</v>
      </c>
      <c r="Q22" s="10">
        <v>2.3733333339293798</v>
      </c>
      <c r="R22" s="10">
        <v>2.1800000001986799</v>
      </c>
      <c r="S22" s="10">
        <v>1.7300000001986799</v>
      </c>
      <c r="T22" s="10">
        <v>2.4200000007947202</v>
      </c>
      <c r="U22" s="11">
        <v>0.90333333412806105</v>
      </c>
      <c r="V22" s="11">
        <v>0.69666666587193804</v>
      </c>
      <c r="W22" s="11">
        <v>0.75333333313465101</v>
      </c>
      <c r="X22" s="11">
        <v>0.67333333293596898</v>
      </c>
      <c r="Y22" s="11">
        <v>0.95666666726271299</v>
      </c>
      <c r="Z22" s="11">
        <v>0.72666666706403005</v>
      </c>
      <c r="AA22" s="10">
        <v>15.3300000001986</v>
      </c>
      <c r="AB22" s="10">
        <v>10.4399999996026</v>
      </c>
      <c r="AC22" s="10">
        <v>13.1433333327372</v>
      </c>
      <c r="AD22" s="10">
        <v>17.143333333730698</v>
      </c>
      <c r="AE22" s="10">
        <v>14.253333334128</v>
      </c>
      <c r="AF22" s="10">
        <v>13.4100000003973</v>
      </c>
      <c r="AG22" s="11">
        <v>1.9999999801317801E-2</v>
      </c>
      <c r="AH22" s="11">
        <v>6.6666672627131102E-3</v>
      </c>
      <c r="AI22" s="11">
        <v>1.6666666666666601E-2</v>
      </c>
      <c r="AJ22" s="11">
        <v>3.0000000198682101E-2</v>
      </c>
      <c r="AK22" s="11">
        <v>1.9999999801317801E-2</v>
      </c>
      <c r="AL22" s="11">
        <v>1.33333335320154E-2</v>
      </c>
      <c r="AM22" s="10">
        <v>0.52666666607061996</v>
      </c>
      <c r="AN22" s="10">
        <v>0.56000000039736397</v>
      </c>
      <c r="AO22" s="10">
        <v>0.61666666666666603</v>
      </c>
      <c r="AP22" s="10">
        <v>0.8</v>
      </c>
      <c r="AQ22" s="10">
        <v>0.73333333333333295</v>
      </c>
      <c r="AR22" s="10">
        <v>0.55666666626930195</v>
      </c>
      <c r="AS22" s="11">
        <v>50.296666666865299</v>
      </c>
      <c r="AT22" s="11">
        <v>45.266666666666602</v>
      </c>
      <c r="AU22" s="11">
        <v>40.203333333134601</v>
      </c>
      <c r="AV22" s="11">
        <v>50.093333333730698</v>
      </c>
      <c r="AW22" s="11">
        <v>38.333680592750781</v>
      </c>
      <c r="AX22" s="11">
        <v>55.836666667461301</v>
      </c>
      <c r="AY22" s="10">
        <v>2.10999999940395</v>
      </c>
      <c r="AZ22" s="10">
        <v>1.96333333353201</v>
      </c>
      <c r="BA22" s="10">
        <v>2.2733333329359602</v>
      </c>
      <c r="BB22" s="10">
        <v>2.0133333335320098</v>
      </c>
      <c r="BC22" s="10">
        <v>2.2400000005960399</v>
      </c>
      <c r="BD22" s="10">
        <v>1.7899999996026299</v>
      </c>
      <c r="BE22" s="12">
        <v>536.84333333373002</v>
      </c>
      <c r="BF22" s="13">
        <v>394.15666666726202</v>
      </c>
      <c r="BG22" s="13">
        <v>688.22666666706402</v>
      </c>
      <c r="BH22" s="13">
        <v>391.503333334128</v>
      </c>
      <c r="BI22" s="13">
        <v>377.310000000397</v>
      </c>
      <c r="BJ22" s="13">
        <v>241.43999999960201</v>
      </c>
      <c r="BK22" s="14">
        <v>475.90333333412798</v>
      </c>
      <c r="BL22" s="14">
        <v>478.626666667064</v>
      </c>
      <c r="BM22" s="14">
        <v>1922.65666666626</v>
      </c>
      <c r="BN22" s="14">
        <v>2776.2300000001901</v>
      </c>
      <c r="BO22" s="14">
        <v>834.37333333392905</v>
      </c>
      <c r="BP22" s="14">
        <v>292.04333333373</v>
      </c>
      <c r="BQ22" s="13">
        <v>2779.2366666664602</v>
      </c>
      <c r="BR22" s="13">
        <v>404.36666666666599</v>
      </c>
      <c r="BS22" s="13">
        <v>698.67333333392901</v>
      </c>
      <c r="BT22" s="13">
        <v>388.409999999403</v>
      </c>
      <c r="BU22" s="13">
        <v>368.68999999960198</v>
      </c>
      <c r="BV22" s="13">
        <v>245.763333332538</v>
      </c>
      <c r="BW22" s="14">
        <v>271.56666666567298</v>
      </c>
      <c r="BX22" s="14">
        <v>432.97000000079402</v>
      </c>
      <c r="BY22" s="14">
        <v>441.20333333313403</v>
      </c>
      <c r="BZ22" s="14">
        <v>1860.2699999997999</v>
      </c>
      <c r="CA22" s="14">
        <v>786.67666666507705</v>
      </c>
      <c r="CB22" s="14">
        <v>3215.16000000039</v>
      </c>
      <c r="CC22" s="13">
        <v>2305.4599999994002</v>
      </c>
      <c r="CD22" s="13">
        <v>803.21999999980096</v>
      </c>
      <c r="CE22" s="13">
        <v>538.91333333253795</v>
      </c>
      <c r="CF22" s="13">
        <v>238.83666666646701</v>
      </c>
      <c r="CG22" s="13">
        <v>1778.35</v>
      </c>
      <c r="CH22" s="13">
        <v>394.80333333313399</v>
      </c>
      <c r="CI22" s="14">
        <v>482.59666666686502</v>
      </c>
      <c r="CJ22" s="14">
        <v>857.29333333273701</v>
      </c>
      <c r="CK22" s="14">
        <v>473.45666666626897</v>
      </c>
      <c r="CL22" s="14">
        <v>298.95999999940398</v>
      </c>
      <c r="CM22" s="14">
        <v>634.92000000079395</v>
      </c>
      <c r="CN22" s="14">
        <v>460.71999999980102</v>
      </c>
    </row>
    <row r="23" spans="1:92" ht="16.5" thickTop="1" thickBot="1">
      <c r="A23" s="1"/>
      <c r="B23" s="1"/>
      <c r="C23" s="10">
        <v>0.64666666686534802</v>
      </c>
      <c r="D23" s="10">
        <v>0.80333333313465105</v>
      </c>
      <c r="E23" s="10">
        <v>0.58666666646798404</v>
      </c>
      <c r="F23" s="10">
        <v>0.96999999980131801</v>
      </c>
      <c r="G23" s="10">
        <v>1.4733333329359699</v>
      </c>
      <c r="H23" s="10">
        <v>1.87666666706403</v>
      </c>
      <c r="I23" s="11">
        <v>47.463333333531999</v>
      </c>
      <c r="J23" s="11">
        <v>40.469999999801303</v>
      </c>
      <c r="K23" s="11">
        <v>48.5833333333333</v>
      </c>
      <c r="L23" s="11">
        <v>42.740000000595998</v>
      </c>
      <c r="M23" s="11">
        <v>43.859999999403897</v>
      </c>
      <c r="N23" s="11">
        <v>55.783333333333303</v>
      </c>
      <c r="O23" s="10">
        <v>2.4214035086290102</v>
      </c>
      <c r="P23" s="10">
        <v>1.92666666607062</v>
      </c>
      <c r="Q23" s="10">
        <v>2.4800000001986802</v>
      </c>
      <c r="R23" s="10">
        <v>3.3200000007947201</v>
      </c>
      <c r="S23" s="10">
        <v>1.7766666670640301</v>
      </c>
      <c r="T23" s="10">
        <v>2.4233333339293699</v>
      </c>
      <c r="U23" s="11">
        <v>0.90666666626930204</v>
      </c>
      <c r="V23" s="11">
        <v>0.76666666666666605</v>
      </c>
      <c r="W23" s="11">
        <v>0.81333333353201498</v>
      </c>
      <c r="X23" s="11">
        <v>0.64666666686534802</v>
      </c>
      <c r="Y23" s="11">
        <v>1.57333333094914</v>
      </c>
      <c r="Z23" s="11">
        <v>0.75999999940395302</v>
      </c>
      <c r="AA23" s="10">
        <v>15.236666666467899</v>
      </c>
      <c r="AB23" s="10">
        <v>11.55</v>
      </c>
      <c r="AC23" s="10">
        <v>13.316666666666601</v>
      </c>
      <c r="AD23" s="10">
        <v>17.326666667064</v>
      </c>
      <c r="AE23" s="10">
        <v>13.3466666668653</v>
      </c>
      <c r="AF23" s="10">
        <v>13.31666666766</v>
      </c>
      <c r="AG23" s="11">
        <v>1.6666666666666601E-2</v>
      </c>
      <c r="AH23" s="11">
        <v>6.3333333532015396E-2</v>
      </c>
      <c r="AI23" s="11">
        <v>1.33333335320154E-2</v>
      </c>
      <c r="AJ23" s="11">
        <v>3.6666666467984499E-2</v>
      </c>
      <c r="AK23" s="11">
        <v>1.9999999801317801E-2</v>
      </c>
      <c r="AL23" s="11">
        <v>3.3333333333333298E-2</v>
      </c>
      <c r="AM23" s="10">
        <v>0.74333333373069699</v>
      </c>
      <c r="AN23" s="10">
        <v>0.56333333353201498</v>
      </c>
      <c r="AO23" s="10">
        <v>0.63333333333333297</v>
      </c>
      <c r="AP23" s="10">
        <v>0.74333333273728597</v>
      </c>
      <c r="AQ23" s="10">
        <v>0.56333333353201498</v>
      </c>
      <c r="AR23" s="10">
        <v>0.76000000039736404</v>
      </c>
      <c r="AS23" s="11">
        <v>47.8333333333333</v>
      </c>
      <c r="AT23" s="11">
        <v>44.666666667660003</v>
      </c>
      <c r="AU23" s="11">
        <v>39.103333333432602</v>
      </c>
      <c r="AV23" s="11">
        <v>54.976666666070599</v>
      </c>
      <c r="AW23" s="11">
        <v>38.959075640549855</v>
      </c>
      <c r="AX23" s="11">
        <v>57.160000000397297</v>
      </c>
      <c r="AY23" s="10">
        <v>3.7899999996026299</v>
      </c>
      <c r="AZ23" s="10">
        <v>1.9899999996026301</v>
      </c>
      <c r="BA23" s="10">
        <v>1.7340000003576199</v>
      </c>
      <c r="BB23" s="10">
        <v>1.10100000003973</v>
      </c>
      <c r="BC23" s="10">
        <v>2.2100000003973599</v>
      </c>
      <c r="BD23" s="10">
        <v>1.6299999992052701</v>
      </c>
      <c r="BE23" s="12">
        <v>537.81666666666604</v>
      </c>
      <c r="BF23" s="13">
        <v>396.35333333214101</v>
      </c>
      <c r="BG23" s="13">
        <v>713.43999999960204</v>
      </c>
      <c r="BH23" s="13">
        <v>389.98999999960199</v>
      </c>
      <c r="BI23" s="13">
        <v>372.02333333194201</v>
      </c>
      <c r="BJ23" s="13">
        <v>241.119999999801</v>
      </c>
      <c r="BK23" s="14">
        <v>472.433333333333</v>
      </c>
      <c r="BL23" s="14">
        <v>439.45333333412799</v>
      </c>
      <c r="BM23" s="14">
        <v>454.114466666738</v>
      </c>
      <c r="BN23" s="14">
        <v>630.17366666684495</v>
      </c>
      <c r="BO23" s="14">
        <v>835.95999999940398</v>
      </c>
      <c r="BP23" s="14">
        <v>291.97000000774801</v>
      </c>
      <c r="BQ23" s="13">
        <v>554.45000000000005</v>
      </c>
      <c r="BR23" s="13">
        <v>402.10666666676599</v>
      </c>
      <c r="BS23" s="13">
        <v>722.82000000079404</v>
      </c>
      <c r="BT23" s="13">
        <v>1846.84333333373</v>
      </c>
      <c r="BU23" s="13">
        <v>371.88000000019798</v>
      </c>
      <c r="BV23" s="13">
        <v>249.03666666646799</v>
      </c>
      <c r="BW23" s="14">
        <v>266.59333333273702</v>
      </c>
      <c r="BX23" s="14">
        <v>442.063333333532</v>
      </c>
      <c r="BY23" s="14">
        <v>443.11000000039701</v>
      </c>
      <c r="BZ23" s="14">
        <v>412.52000000079403</v>
      </c>
      <c r="CA23" s="14">
        <v>793.48333333233995</v>
      </c>
      <c r="CB23" s="14">
        <v>604.11333333452501</v>
      </c>
      <c r="CC23" s="13">
        <v>1976.8733333329301</v>
      </c>
      <c r="CD23" s="13">
        <v>812.92666666706396</v>
      </c>
      <c r="CE23" s="13">
        <v>538.186666666468</v>
      </c>
      <c r="CF23" s="13">
        <v>245.73333333333301</v>
      </c>
      <c r="CG23" s="13">
        <v>373.65333333313401</v>
      </c>
      <c r="CH23" s="13">
        <v>392.11000000039701</v>
      </c>
      <c r="CI23" s="14">
        <v>474.45</v>
      </c>
      <c r="CJ23" s="14">
        <v>844.29333333372995</v>
      </c>
      <c r="CK23" s="14">
        <v>488.119999998808</v>
      </c>
      <c r="CL23" s="14">
        <v>302.81999999980098</v>
      </c>
      <c r="CM23" s="14">
        <v>644.33999999860896</v>
      </c>
      <c r="CN23" s="14">
        <v>462.996666666865</v>
      </c>
    </row>
    <row r="24" spans="1:92" ht="16.5" thickTop="1" thickBot="1">
      <c r="C24" s="9"/>
      <c r="D24" s="9"/>
      <c r="E24" s="9"/>
      <c r="F24" s="9"/>
      <c r="G24" s="9"/>
      <c r="H24" s="9"/>
      <c r="I24" s="11"/>
      <c r="J24" s="11"/>
      <c r="K24" s="11"/>
      <c r="L24" s="11"/>
      <c r="M24" s="11"/>
      <c r="N24" s="11"/>
      <c r="O24" s="9"/>
      <c r="P24" s="9"/>
      <c r="Q24" s="9"/>
      <c r="R24" s="9"/>
      <c r="S24" s="9"/>
      <c r="T24" s="9"/>
      <c r="U24" s="11"/>
      <c r="V24" s="11"/>
      <c r="W24" s="11"/>
      <c r="X24" s="11"/>
      <c r="Y24" s="11"/>
      <c r="Z24" s="11"/>
      <c r="AA24" s="9"/>
      <c r="AB24" s="9"/>
      <c r="AC24" s="9"/>
      <c r="AD24" s="9"/>
      <c r="AE24" s="9"/>
      <c r="AF24" s="9"/>
      <c r="AG24" s="11"/>
      <c r="AH24" s="11"/>
      <c r="AI24" s="11"/>
      <c r="AJ24" s="11"/>
      <c r="AK24" s="11"/>
      <c r="AL24" s="11"/>
      <c r="AM24" s="9"/>
      <c r="AN24" s="9"/>
      <c r="AO24" s="9"/>
      <c r="AP24" s="9"/>
      <c r="AQ24" s="9"/>
      <c r="AR24" s="9"/>
      <c r="AS24" s="11"/>
      <c r="AT24" s="11"/>
      <c r="AU24" s="11"/>
      <c r="AV24" s="11"/>
      <c r="AW24" s="11"/>
      <c r="AX24" s="11"/>
      <c r="AY24" s="9"/>
      <c r="AZ24" s="9"/>
      <c r="BA24" s="9"/>
      <c r="BB24" s="9"/>
      <c r="BC24" s="9"/>
      <c r="BD24" s="9"/>
      <c r="BE24" s="11"/>
      <c r="BF24" s="11"/>
      <c r="BG24" s="11"/>
      <c r="BH24" s="11"/>
      <c r="BI24" s="11"/>
      <c r="BJ24" s="11"/>
      <c r="BK24" s="9"/>
      <c r="BL24" s="9"/>
      <c r="BM24" s="9"/>
      <c r="BN24" s="9"/>
      <c r="BO24" s="9"/>
      <c r="BP24" s="9"/>
      <c r="BQ24" s="11"/>
      <c r="BR24" s="11"/>
      <c r="BS24" s="11"/>
      <c r="BT24" s="11"/>
      <c r="BU24" s="11"/>
      <c r="BV24" s="11"/>
      <c r="BW24" s="9"/>
      <c r="BX24" s="9"/>
      <c r="BY24" s="9"/>
      <c r="BZ24" s="9"/>
      <c r="CA24" s="9"/>
      <c r="CB24" s="9"/>
      <c r="CC24" s="11"/>
      <c r="CD24" s="11"/>
      <c r="CE24" s="11"/>
      <c r="CF24" s="11"/>
      <c r="CG24" s="11"/>
      <c r="CH24" s="11"/>
      <c r="CI24" s="9"/>
      <c r="CJ24" s="9"/>
      <c r="CK24" s="9"/>
      <c r="CL24" s="9"/>
      <c r="CM24" s="9"/>
      <c r="CN24" s="9"/>
    </row>
    <row r="25" spans="1:92" ht="13.5" thickTop="1">
      <c r="A25" s="4" t="s">
        <v>14</v>
      </c>
      <c r="B25" s="1" t="s">
        <v>15</v>
      </c>
      <c r="C25" s="2">
        <f t="shared" ref="C25:CN25" si="0">AVERAGE(C4:C23)</f>
        <v>0.72866666669646829</v>
      </c>
      <c r="D25" s="2">
        <f t="shared" si="0"/>
        <v>0.89849999984105255</v>
      </c>
      <c r="E25" s="2">
        <f t="shared" si="0"/>
        <v>0.73033333331346484</v>
      </c>
      <c r="F25" s="2">
        <f t="shared" si="0"/>
        <v>0.89166666651765392</v>
      </c>
      <c r="G25" s="2">
        <f t="shared" si="0"/>
        <v>0.79450000002980181</v>
      </c>
      <c r="H25" s="2">
        <f t="shared" si="0"/>
        <v>0.69916666671633665</v>
      </c>
      <c r="I25" s="2">
        <f t="shared" si="0"/>
        <v>47.47433333352204</v>
      </c>
      <c r="J25" s="2">
        <f t="shared" si="0"/>
        <v>41.166666666716296</v>
      </c>
      <c r="K25" s="2">
        <f t="shared" si="0"/>
        <v>48.826500000009894</v>
      </c>
      <c r="L25" s="2">
        <f t="shared" si="0"/>
        <v>41.67099999999003</v>
      </c>
      <c r="M25" s="2">
        <f t="shared" si="0"/>
        <v>43.874499999980081</v>
      </c>
      <c r="N25" s="2">
        <f t="shared" si="0"/>
        <v>57.467500000148974</v>
      </c>
      <c r="O25" s="2">
        <f t="shared" si="0"/>
        <v>2.3382368418199571</v>
      </c>
      <c r="P25" s="2">
        <f t="shared" si="0"/>
        <v>2.0686666664977822</v>
      </c>
      <c r="Q25" s="2">
        <f t="shared" si="0"/>
        <v>2.4060000000894037</v>
      </c>
      <c r="R25" s="2">
        <f t="shared" si="0"/>
        <v>2.4350000000993366</v>
      </c>
      <c r="S25" s="2">
        <f t="shared" si="0"/>
        <v>1.787500000298019</v>
      </c>
      <c r="T25" s="2">
        <f t="shared" si="0"/>
        <v>2.1123333334426024</v>
      </c>
      <c r="U25" s="2">
        <f t="shared" si="0"/>
        <v>0.95683333332339815</v>
      </c>
      <c r="V25" s="2">
        <f t="shared" si="0"/>
        <v>0.86349999994039484</v>
      </c>
      <c r="W25" s="2">
        <f t="shared" si="0"/>
        <v>0.83266666665673195</v>
      </c>
      <c r="X25" s="2">
        <f t="shared" si="0"/>
        <v>0.71799999987085572</v>
      </c>
      <c r="Y25" s="2">
        <f t="shared" si="0"/>
        <v>1.2486666663487702</v>
      </c>
      <c r="Z25" s="2">
        <f t="shared" si="0"/>
        <v>0.84550000006953785</v>
      </c>
      <c r="AA25" s="2">
        <f t="shared" si="0"/>
        <v>15.370333333263739</v>
      </c>
      <c r="AB25" s="2">
        <f t="shared" si="0"/>
        <v>10.580833333382946</v>
      </c>
      <c r="AC25" s="2">
        <f t="shared" si="0"/>
        <v>13.668666666646752</v>
      </c>
      <c r="AD25" s="2">
        <f t="shared" si="0"/>
        <v>17.472666666855364</v>
      </c>
      <c r="AE25" s="2">
        <f t="shared" si="0"/>
        <v>13.502333333343216</v>
      </c>
      <c r="AF25" s="2">
        <f t="shared" si="0"/>
        <v>13.596333333253815</v>
      </c>
      <c r="AG25" s="2">
        <f t="shared" si="0"/>
        <v>2.0499999920527083E-2</v>
      </c>
      <c r="AH25" s="2">
        <f t="shared" si="0"/>
        <v>2.3166666527589114E-2</v>
      </c>
      <c r="AI25" s="2">
        <f t="shared" si="0"/>
        <v>1.8666666696468923E-2</v>
      </c>
      <c r="AJ25" s="2">
        <f t="shared" si="0"/>
        <v>3.6166666696468966E-2</v>
      </c>
      <c r="AK25" s="2">
        <f t="shared" si="0"/>
        <v>2.1500000009934052E-2</v>
      </c>
      <c r="AL25" s="2">
        <f t="shared" si="0"/>
        <v>2.4500000079472801E-2</v>
      </c>
      <c r="AM25" s="2">
        <f t="shared" si="0"/>
        <v>0.55733333324392587</v>
      </c>
      <c r="AN25" s="2">
        <f t="shared" si="0"/>
        <v>0.60949999973177882</v>
      </c>
      <c r="AO25" s="2">
        <f t="shared" si="0"/>
        <v>0.71066666682561208</v>
      </c>
      <c r="AP25" s="2">
        <f t="shared" si="0"/>
        <v>0.82049999987085598</v>
      </c>
      <c r="AQ25" s="2">
        <f t="shared" si="0"/>
        <v>0.66666666676600728</v>
      </c>
      <c r="AR25" s="2">
        <f t="shared" si="0"/>
        <v>0.61533333341280572</v>
      </c>
      <c r="AS25" s="2">
        <f t="shared" si="0"/>
        <v>49.184000000059562</v>
      </c>
      <c r="AT25" s="2">
        <f t="shared" si="0"/>
        <v>45.384000000009891</v>
      </c>
      <c r="AU25" s="2">
        <f t="shared" si="0"/>
        <v>41.209833333407801</v>
      </c>
      <c r="AV25" s="2">
        <f t="shared" si="0"/>
        <v>51.742166666537479</v>
      </c>
      <c r="AW25" s="2">
        <f t="shared" si="0"/>
        <v>36.374181920994964</v>
      </c>
      <c r="AX25" s="2">
        <f t="shared" si="0"/>
        <v>56.35100000003969</v>
      </c>
      <c r="AY25" s="2">
        <f t="shared" si="0"/>
        <v>2.3841666665176495</v>
      </c>
      <c r="AZ25" s="2">
        <f t="shared" si="0"/>
        <v>2.037999999970193</v>
      </c>
      <c r="BA25" s="2">
        <f t="shared" si="0"/>
        <v>2.0065333332618027</v>
      </c>
      <c r="BB25" s="2">
        <f t="shared" si="0"/>
        <v>2.0603833334147881</v>
      </c>
      <c r="BC25" s="2">
        <f t="shared" si="0"/>
        <v>2.3875000000993367</v>
      </c>
      <c r="BD25" s="2">
        <f t="shared" si="0"/>
        <v>1.756000000039732</v>
      </c>
      <c r="BE25" s="2">
        <f t="shared" si="0"/>
        <v>1131.0901666667046</v>
      </c>
      <c r="BF25" s="3">
        <f t="shared" si="0"/>
        <v>394.49849999989021</v>
      </c>
      <c r="BG25" s="3">
        <f t="shared" si="0"/>
        <v>825.89783333341222</v>
      </c>
      <c r="BH25" s="3">
        <f t="shared" si="0"/>
        <v>390.63533333336278</v>
      </c>
      <c r="BI25" s="3">
        <f t="shared" si="0"/>
        <v>373.82083333328325</v>
      </c>
      <c r="BJ25" s="3">
        <f t="shared" si="0"/>
        <v>240.02033333336266</v>
      </c>
      <c r="BK25" s="3">
        <f t="shared" si="0"/>
        <v>484.25666666666621</v>
      </c>
      <c r="BL25" s="3">
        <f t="shared" si="0"/>
        <v>694.94433333347149</v>
      </c>
      <c r="BM25" s="3">
        <f t="shared" si="0"/>
        <v>527.90005666685806</v>
      </c>
      <c r="BN25" s="3">
        <f t="shared" si="0"/>
        <v>738.46418333341103</v>
      </c>
      <c r="BO25" s="3">
        <f t="shared" si="0"/>
        <v>835.07916666651704</v>
      </c>
      <c r="BP25" s="3">
        <f t="shared" si="0"/>
        <v>295.60600000043667</v>
      </c>
      <c r="BQ25" s="3">
        <f t="shared" si="0"/>
        <v>1861.7310000001853</v>
      </c>
      <c r="BR25" s="3">
        <f t="shared" si="0"/>
        <v>403.71416666684007</v>
      </c>
      <c r="BS25" s="3">
        <f t="shared" si="0"/>
        <v>701.11450000037701</v>
      </c>
      <c r="BT25" s="3">
        <f t="shared" si="0"/>
        <v>1483.2588333334998</v>
      </c>
      <c r="BU25" s="3">
        <f t="shared" si="0"/>
        <v>369.35433333342229</v>
      </c>
      <c r="BV25" s="3">
        <f t="shared" si="0"/>
        <v>247.49366666669616</v>
      </c>
      <c r="BW25" s="3">
        <f t="shared" si="0"/>
        <v>832.36166666631584</v>
      </c>
      <c r="BX25" s="3">
        <f t="shared" si="0"/>
        <v>440.74016666670587</v>
      </c>
      <c r="BY25" s="3">
        <f t="shared" si="0"/>
        <v>672.59633333330282</v>
      </c>
      <c r="BZ25" s="3">
        <f t="shared" si="0"/>
        <v>487.80383333340222</v>
      </c>
      <c r="CA25" s="3">
        <f t="shared" si="0"/>
        <v>925.61149999986026</v>
      </c>
      <c r="CB25" s="3">
        <f t="shared" si="0"/>
        <v>737.16966666693429</v>
      </c>
      <c r="CC25" s="3">
        <f t="shared" si="0"/>
        <v>2083.2244999999266</v>
      </c>
      <c r="CD25" s="3">
        <f t="shared" si="0"/>
        <v>1279.1258333332828</v>
      </c>
      <c r="CE25" s="3">
        <f t="shared" si="0"/>
        <v>542.836166666547</v>
      </c>
      <c r="CF25" s="3">
        <f t="shared" si="0"/>
        <v>350.31749999989989</v>
      </c>
      <c r="CG25" s="3">
        <f t="shared" si="0"/>
        <v>742.22266666670498</v>
      </c>
      <c r="CH25" s="3">
        <f t="shared" si="0"/>
        <v>396.37099999994001</v>
      </c>
      <c r="CI25" s="3">
        <f t="shared" si="0"/>
        <v>560.17283333321359</v>
      </c>
      <c r="CJ25" s="3">
        <f t="shared" si="0"/>
        <v>863.56033333326309</v>
      </c>
      <c r="CK25" s="3">
        <f t="shared" si="0"/>
        <v>493.3394999997314</v>
      </c>
      <c r="CL25" s="3">
        <f t="shared" si="0"/>
        <v>294.87466666658673</v>
      </c>
      <c r="CM25" s="3">
        <f t="shared" si="0"/>
        <v>646.04699999988043</v>
      </c>
      <c r="CN25" s="3">
        <f t="shared" si="0"/>
        <v>459.84216666658676</v>
      </c>
    </row>
    <row r="26" spans="1:92" ht="12.75">
      <c r="A26" s="2">
        <f>MIN(C27:CN27)</f>
        <v>6.6666662693023598E-3</v>
      </c>
      <c r="B26" s="1" t="s">
        <v>16</v>
      </c>
      <c r="C26" s="2">
        <f t="shared" ref="C26:CN26" si="1">MEDIAN(C4:C23)</f>
        <v>0.65666666676600749</v>
      </c>
      <c r="D26" s="2">
        <f t="shared" si="1"/>
        <v>0.911666666467984</v>
      </c>
      <c r="E26" s="2">
        <f t="shared" si="1"/>
        <v>0.69999999950329395</v>
      </c>
      <c r="F26" s="2">
        <f t="shared" si="1"/>
        <v>0.85166666656732493</v>
      </c>
      <c r="G26" s="2">
        <f t="shared" si="1"/>
        <v>0.75166666607061994</v>
      </c>
      <c r="H26" s="2">
        <f t="shared" si="1"/>
        <v>0.60333333313465054</v>
      </c>
      <c r="I26" s="2">
        <f t="shared" si="1"/>
        <v>47.385000000397298</v>
      </c>
      <c r="J26" s="2">
        <f t="shared" si="1"/>
        <v>40.976666667063952</v>
      </c>
      <c r="K26" s="2">
        <f t="shared" si="1"/>
        <v>48.619999999801301</v>
      </c>
      <c r="L26" s="2">
        <f t="shared" si="1"/>
        <v>41.8949999998013</v>
      </c>
      <c r="M26" s="2">
        <f t="shared" si="1"/>
        <v>43.810000000397352</v>
      </c>
      <c r="N26" s="2">
        <f t="shared" si="1"/>
        <v>57.221666666865303</v>
      </c>
      <c r="O26" s="2">
        <f t="shared" si="1"/>
        <v>2.2199999998013151</v>
      </c>
      <c r="P26" s="2">
        <f t="shared" si="1"/>
        <v>2.0599999999006551</v>
      </c>
      <c r="Q26" s="2">
        <f t="shared" si="1"/>
        <v>2.3483333334326701</v>
      </c>
      <c r="R26" s="2">
        <f t="shared" si="1"/>
        <v>2.1800000001986799</v>
      </c>
      <c r="S26" s="2">
        <f t="shared" si="1"/>
        <v>1.774999999999995</v>
      </c>
      <c r="T26" s="2">
        <f t="shared" si="1"/>
        <v>2.08833333353201</v>
      </c>
      <c r="U26" s="2">
        <f t="shared" si="1"/>
        <v>0.92666666656732499</v>
      </c>
      <c r="V26" s="2">
        <f t="shared" si="1"/>
        <v>0.84333333323399207</v>
      </c>
      <c r="W26" s="2">
        <f t="shared" si="1"/>
        <v>0.81333333353201498</v>
      </c>
      <c r="X26" s="2">
        <f t="shared" si="1"/>
        <v>0.6633333330353095</v>
      </c>
      <c r="Y26" s="2">
        <f t="shared" si="1"/>
        <v>1.1366666664679801</v>
      </c>
      <c r="Z26" s="2">
        <f t="shared" si="1"/>
        <v>0.80666666626930195</v>
      </c>
      <c r="AA26" s="2">
        <f t="shared" si="1"/>
        <v>15.288333332538549</v>
      </c>
      <c r="AB26" s="2">
        <f t="shared" si="1"/>
        <v>10.478333333631301</v>
      </c>
      <c r="AC26" s="2">
        <f t="shared" si="1"/>
        <v>13.299999999999951</v>
      </c>
      <c r="AD26" s="2">
        <f t="shared" si="1"/>
        <v>17.309999999900597</v>
      </c>
      <c r="AE26" s="2">
        <f t="shared" si="1"/>
        <v>13.316666666666601</v>
      </c>
      <c r="AF26" s="2">
        <f t="shared" si="1"/>
        <v>13.394999999304551</v>
      </c>
      <c r="AG26" s="2">
        <f t="shared" si="1"/>
        <v>1.9999999801317801E-2</v>
      </c>
      <c r="AH26" s="2">
        <f t="shared" si="1"/>
        <v>1.6666666666666601E-2</v>
      </c>
      <c r="AI26" s="2">
        <f t="shared" si="1"/>
        <v>1.6666666666666601E-2</v>
      </c>
      <c r="AJ26" s="2">
        <f t="shared" si="1"/>
        <v>3.6666666467984499E-2</v>
      </c>
      <c r="AK26" s="2">
        <f t="shared" si="1"/>
        <v>1.9999999801317801E-2</v>
      </c>
      <c r="AL26" s="2">
        <f t="shared" si="1"/>
        <v>2.1666666865348749E-2</v>
      </c>
      <c r="AM26" s="2">
        <f t="shared" si="1"/>
        <v>0.52833333313465092</v>
      </c>
      <c r="AN26" s="2">
        <f t="shared" si="1"/>
        <v>0.57166666587193804</v>
      </c>
      <c r="AO26" s="2">
        <f t="shared" si="1"/>
        <v>0.66666666666666607</v>
      </c>
      <c r="AP26" s="2">
        <f t="shared" si="1"/>
        <v>0.77666666607061996</v>
      </c>
      <c r="AQ26" s="2">
        <f t="shared" si="1"/>
        <v>0.64333333373069701</v>
      </c>
      <c r="AR26" s="2">
        <f t="shared" si="1"/>
        <v>0.59833333343267392</v>
      </c>
      <c r="AS26" s="2">
        <f t="shared" si="1"/>
        <v>48.895000000297998</v>
      </c>
      <c r="AT26" s="2">
        <f t="shared" si="1"/>
        <v>45.138333334028651</v>
      </c>
      <c r="AU26" s="2">
        <f t="shared" si="1"/>
        <v>40.516666666169897</v>
      </c>
      <c r="AV26" s="2">
        <f t="shared" si="1"/>
        <v>51.449999999999946</v>
      </c>
      <c r="AW26" s="2">
        <f t="shared" si="1"/>
        <v>35.445561915859642</v>
      </c>
      <c r="AX26" s="2">
        <f t="shared" si="1"/>
        <v>55.983333332836601</v>
      </c>
      <c r="AY26" s="2">
        <f t="shared" si="1"/>
        <v>2.1733333324392552</v>
      </c>
      <c r="AZ26" s="2">
        <f t="shared" si="1"/>
        <v>1.9983333334326701</v>
      </c>
      <c r="BA26" s="2">
        <f t="shared" si="1"/>
        <v>1.9300000001986799</v>
      </c>
      <c r="BB26" s="2">
        <f t="shared" si="1"/>
        <v>2.0416666671633648</v>
      </c>
      <c r="BC26" s="2">
        <f t="shared" si="1"/>
        <v>2.3933333327372797</v>
      </c>
      <c r="BD26" s="2">
        <f t="shared" si="1"/>
        <v>1.73500000039736</v>
      </c>
      <c r="BE26" s="2">
        <f t="shared" si="1"/>
        <v>539.97999999970148</v>
      </c>
      <c r="BF26" s="3">
        <f t="shared" si="1"/>
        <v>394.49833333343247</v>
      </c>
      <c r="BG26" s="3">
        <f t="shared" si="1"/>
        <v>690.91166666696449</v>
      </c>
      <c r="BH26" s="3">
        <f t="shared" si="1"/>
        <v>390.23500000039701</v>
      </c>
      <c r="BI26" s="3">
        <f t="shared" si="1"/>
        <v>373.43333333333248</v>
      </c>
      <c r="BJ26" s="3">
        <f t="shared" si="1"/>
        <v>239.6749999999995</v>
      </c>
      <c r="BK26" s="3">
        <f t="shared" si="1"/>
        <v>482.35666666676548</v>
      </c>
      <c r="BL26" s="3">
        <f t="shared" si="1"/>
        <v>472.36000000039701</v>
      </c>
      <c r="BM26" s="3">
        <f t="shared" si="1"/>
        <v>454.10056666709949</v>
      </c>
      <c r="BN26" s="3">
        <f t="shared" si="1"/>
        <v>630.72666666706345</v>
      </c>
      <c r="BO26" s="3">
        <f t="shared" si="1"/>
        <v>835.03833333303498</v>
      </c>
      <c r="BP26" s="3">
        <f t="shared" si="1"/>
        <v>292.06500000009896</v>
      </c>
      <c r="BQ26" s="3">
        <f t="shared" si="1"/>
        <v>2491.03166666676</v>
      </c>
      <c r="BR26" s="3">
        <f t="shared" si="1"/>
        <v>403.23333333333301</v>
      </c>
      <c r="BS26" s="3">
        <f t="shared" si="1"/>
        <v>698.89000000059559</v>
      </c>
      <c r="BT26" s="3">
        <f t="shared" si="1"/>
        <v>1846.84333333373</v>
      </c>
      <c r="BU26" s="3">
        <f t="shared" si="1"/>
        <v>369.1800000001985</v>
      </c>
      <c r="BV26" s="3">
        <f t="shared" si="1"/>
        <v>247.69166666666601</v>
      </c>
      <c r="BW26" s="3">
        <f t="shared" si="1"/>
        <v>1159.268333332735</v>
      </c>
      <c r="BX26" s="3">
        <f t="shared" si="1"/>
        <v>440.97166666686496</v>
      </c>
      <c r="BY26" s="3">
        <f t="shared" si="1"/>
        <v>442.088333333035</v>
      </c>
      <c r="BZ26" s="3">
        <f t="shared" si="1"/>
        <v>414.25500000019798</v>
      </c>
      <c r="CA26" s="3">
        <f t="shared" si="1"/>
        <v>788.57833333363101</v>
      </c>
      <c r="CB26" s="3">
        <f t="shared" si="1"/>
        <v>603.6166666676595</v>
      </c>
      <c r="CC26" s="3">
        <f t="shared" si="1"/>
        <v>2012.624999999995</v>
      </c>
      <c r="CD26" s="3">
        <f t="shared" si="1"/>
        <v>802.11833333373056</v>
      </c>
      <c r="CE26" s="3">
        <f t="shared" si="1"/>
        <v>537.57333333243901</v>
      </c>
      <c r="CF26" s="3">
        <f t="shared" si="1"/>
        <v>239.59999999999951</v>
      </c>
      <c r="CG26" s="3">
        <f t="shared" si="1"/>
        <v>375.38333333333253</v>
      </c>
      <c r="CH26" s="3">
        <f t="shared" si="1"/>
        <v>393.99666666636847</v>
      </c>
      <c r="CI26" s="3">
        <f t="shared" si="1"/>
        <v>482.61833333323352</v>
      </c>
      <c r="CJ26" s="3">
        <f t="shared" si="1"/>
        <v>843.41499999960206</v>
      </c>
      <c r="CK26" s="3">
        <f t="shared" si="1"/>
        <v>495.25833333283651</v>
      </c>
      <c r="CL26" s="3">
        <f t="shared" si="1"/>
        <v>291.791666666666</v>
      </c>
      <c r="CM26" s="3">
        <f t="shared" si="1"/>
        <v>643.05166666606999</v>
      </c>
      <c r="CN26" s="3">
        <f t="shared" si="1"/>
        <v>461.593333333234</v>
      </c>
    </row>
    <row r="27" spans="1:92" ht="12.75">
      <c r="A27" s="5" t="s">
        <v>17</v>
      </c>
      <c r="B27" s="1" t="s">
        <v>18</v>
      </c>
      <c r="C27" s="2">
        <f t="shared" ref="C27:CN27" si="2">MIN(C4:C23)</f>
        <v>0.573333332935969</v>
      </c>
      <c r="D27" s="2">
        <f t="shared" si="2"/>
        <v>0.57000000079472801</v>
      </c>
      <c r="E27" s="2">
        <f t="shared" si="2"/>
        <v>0.58000000019868203</v>
      </c>
      <c r="F27" s="2">
        <f t="shared" si="2"/>
        <v>0.613333332538604</v>
      </c>
      <c r="G27" s="2">
        <f t="shared" si="2"/>
        <v>0.47333333293596902</v>
      </c>
      <c r="H27" s="2">
        <f t="shared" si="2"/>
        <v>0.46999999980131701</v>
      </c>
      <c r="I27" s="2">
        <f t="shared" si="2"/>
        <v>47.310000000397302</v>
      </c>
      <c r="J27" s="2">
        <f t="shared" si="2"/>
        <v>40.413333333532002</v>
      </c>
      <c r="K27" s="2">
        <f t="shared" si="2"/>
        <v>48.5433333337307</v>
      </c>
      <c r="L27" s="2">
        <f t="shared" si="2"/>
        <v>40.073333333929298</v>
      </c>
      <c r="M27" s="2">
        <f t="shared" si="2"/>
        <v>43.7399999986092</v>
      </c>
      <c r="N27" s="2">
        <f t="shared" si="2"/>
        <v>55.596666666865303</v>
      </c>
      <c r="O27" s="2">
        <f t="shared" si="2"/>
        <v>1.9499999990065799</v>
      </c>
      <c r="P27" s="2">
        <f t="shared" si="2"/>
        <v>1.92666666607062</v>
      </c>
      <c r="Q27" s="2">
        <f t="shared" si="2"/>
        <v>2.25</v>
      </c>
      <c r="R27" s="2">
        <f t="shared" si="2"/>
        <v>2.0266666660706201</v>
      </c>
      <c r="S27" s="2">
        <f t="shared" si="2"/>
        <v>1.6866666674613899</v>
      </c>
      <c r="T27" s="2">
        <f t="shared" si="2"/>
        <v>1.90333333313465</v>
      </c>
      <c r="U27" s="2">
        <f t="shared" si="2"/>
        <v>0.82333333392937902</v>
      </c>
      <c r="V27" s="2">
        <f t="shared" si="2"/>
        <v>0.69666666587193804</v>
      </c>
      <c r="W27" s="2">
        <f t="shared" si="2"/>
        <v>0.71666666666666601</v>
      </c>
      <c r="X27" s="2">
        <f t="shared" si="2"/>
        <v>0.60333333412806101</v>
      </c>
      <c r="Y27" s="2">
        <f t="shared" si="2"/>
        <v>0.95666666726271299</v>
      </c>
      <c r="Z27" s="2">
        <f t="shared" si="2"/>
        <v>0.72666666706403005</v>
      </c>
      <c r="AA27" s="2">
        <f t="shared" si="2"/>
        <v>15.2133333345254</v>
      </c>
      <c r="AB27" s="2">
        <f t="shared" si="2"/>
        <v>10.4300000001986</v>
      </c>
      <c r="AC27" s="2">
        <f t="shared" si="2"/>
        <v>13.096666665871901</v>
      </c>
      <c r="AD27" s="2">
        <f t="shared" si="2"/>
        <v>17.143333333730698</v>
      </c>
      <c r="AE27" s="2">
        <f t="shared" si="2"/>
        <v>13.2733333329359</v>
      </c>
      <c r="AF27" s="2">
        <f t="shared" si="2"/>
        <v>13.303333333134599</v>
      </c>
      <c r="AG27" s="2">
        <f t="shared" si="2"/>
        <v>1.3333332538604701E-2</v>
      </c>
      <c r="AH27" s="2">
        <f t="shared" si="2"/>
        <v>6.6666662693023598E-3</v>
      </c>
      <c r="AI27" s="2">
        <f t="shared" si="2"/>
        <v>1.3333332538604701E-2</v>
      </c>
      <c r="AJ27" s="2">
        <f t="shared" si="2"/>
        <v>2.6666666070620199E-2</v>
      </c>
      <c r="AK27" s="2">
        <f t="shared" si="2"/>
        <v>1.33333335320154E-2</v>
      </c>
      <c r="AL27" s="2">
        <f t="shared" si="2"/>
        <v>1.33333335320154E-2</v>
      </c>
      <c r="AM27" s="2">
        <f t="shared" si="2"/>
        <v>0.44333333273728598</v>
      </c>
      <c r="AN27" s="2">
        <f t="shared" si="2"/>
        <v>0.549999998013178</v>
      </c>
      <c r="AO27" s="2">
        <f t="shared" si="2"/>
        <v>0.61666666666666603</v>
      </c>
      <c r="AP27" s="2">
        <f t="shared" si="2"/>
        <v>0.676666667064031</v>
      </c>
      <c r="AQ27" s="2">
        <f t="shared" si="2"/>
        <v>0.56333333353201498</v>
      </c>
      <c r="AR27" s="2">
        <f t="shared" si="2"/>
        <v>0.52333333392937897</v>
      </c>
      <c r="AS27" s="2">
        <f t="shared" si="2"/>
        <v>47.8333333333333</v>
      </c>
      <c r="AT27" s="2">
        <f t="shared" si="2"/>
        <v>44.406666666269302</v>
      </c>
      <c r="AU27" s="2">
        <f t="shared" si="2"/>
        <v>39.103333333432602</v>
      </c>
      <c r="AV27" s="2">
        <f t="shared" si="2"/>
        <v>49.993333332737201</v>
      </c>
      <c r="AW27" s="2">
        <f t="shared" si="2"/>
        <v>32.170123745123988</v>
      </c>
      <c r="AX27" s="2">
        <f t="shared" si="2"/>
        <v>54.506666667262699</v>
      </c>
      <c r="AY27" s="2">
        <f t="shared" si="2"/>
        <v>1.97666666607062</v>
      </c>
      <c r="AZ27" s="2">
        <f t="shared" si="2"/>
        <v>1.9299999992052701</v>
      </c>
      <c r="BA27" s="2">
        <f t="shared" si="2"/>
        <v>1.7340000003576199</v>
      </c>
      <c r="BB27" s="2">
        <f t="shared" si="2"/>
        <v>1.10100000003973</v>
      </c>
      <c r="BC27" s="2">
        <f t="shared" si="2"/>
        <v>2.2100000003973599</v>
      </c>
      <c r="BD27" s="2">
        <f t="shared" si="2"/>
        <v>1.6299999992052701</v>
      </c>
      <c r="BE27" s="2">
        <f t="shared" si="2"/>
        <v>533.75</v>
      </c>
      <c r="BF27" s="3">
        <f t="shared" si="2"/>
        <v>391.73333333333301</v>
      </c>
      <c r="BG27" s="3">
        <f t="shared" si="2"/>
        <v>687.39666666686503</v>
      </c>
      <c r="BH27" s="3">
        <f t="shared" si="2"/>
        <v>387.26333333353199</v>
      </c>
      <c r="BI27" s="3">
        <f t="shared" si="2"/>
        <v>371.619999999801</v>
      </c>
      <c r="BJ27" s="3">
        <f t="shared" si="2"/>
        <v>238.03333333333299</v>
      </c>
      <c r="BK27" s="3">
        <f t="shared" si="2"/>
        <v>472.433333333333</v>
      </c>
      <c r="BL27" s="3">
        <f t="shared" si="2"/>
        <v>439.45333333412799</v>
      </c>
      <c r="BM27" s="3">
        <f t="shared" si="2"/>
        <v>451.39333333373003</v>
      </c>
      <c r="BN27" s="3">
        <f t="shared" si="2"/>
        <v>627.66999999980101</v>
      </c>
      <c r="BO27" s="3">
        <f t="shared" si="2"/>
        <v>832.69333333373004</v>
      </c>
      <c r="BP27" s="3">
        <f t="shared" si="2"/>
        <v>291.060000000397</v>
      </c>
      <c r="BQ27" s="3">
        <f t="shared" si="2"/>
        <v>547.36333333353195</v>
      </c>
      <c r="BR27" s="3">
        <f t="shared" si="2"/>
        <v>399.7</v>
      </c>
      <c r="BS27" s="3">
        <f t="shared" si="2"/>
        <v>695.07333333392899</v>
      </c>
      <c r="BT27" s="3">
        <f t="shared" si="2"/>
        <v>388.409999999403</v>
      </c>
      <c r="BU27" s="3">
        <f t="shared" si="2"/>
        <v>366.86666666666599</v>
      </c>
      <c r="BV27" s="3">
        <f t="shared" si="2"/>
        <v>243.91333333353199</v>
      </c>
      <c r="BW27" s="3">
        <f t="shared" si="2"/>
        <v>264.46000000039697</v>
      </c>
      <c r="BX27" s="3">
        <f t="shared" si="2"/>
        <v>422.469999998807</v>
      </c>
      <c r="BY27" s="3">
        <f t="shared" si="2"/>
        <v>438.56666666666598</v>
      </c>
      <c r="BZ27" s="3">
        <f t="shared" si="2"/>
        <v>408.45666666626897</v>
      </c>
      <c r="CA27" s="3">
        <f t="shared" si="2"/>
        <v>781.71999999980096</v>
      </c>
      <c r="CB27" s="3">
        <f t="shared" si="2"/>
        <v>595.876666667064</v>
      </c>
      <c r="CC27" s="3">
        <f t="shared" si="2"/>
        <v>1964.2199999997999</v>
      </c>
      <c r="CD27" s="3">
        <f t="shared" si="2"/>
        <v>792.08000000019797</v>
      </c>
      <c r="CE27" s="3">
        <f t="shared" si="2"/>
        <v>533.82000000079404</v>
      </c>
      <c r="CF27" s="3">
        <f t="shared" si="2"/>
        <v>237.88333333432601</v>
      </c>
      <c r="CG27" s="3">
        <f t="shared" si="2"/>
        <v>372.50666666626898</v>
      </c>
      <c r="CH27" s="3">
        <f t="shared" si="2"/>
        <v>391.85999999940299</v>
      </c>
      <c r="CI27" s="3">
        <f t="shared" si="2"/>
        <v>472.59333333373002</v>
      </c>
      <c r="CJ27" s="3">
        <f t="shared" si="2"/>
        <v>840.93000000019799</v>
      </c>
      <c r="CK27" s="3">
        <f t="shared" si="2"/>
        <v>473.45666666626897</v>
      </c>
      <c r="CL27" s="3">
        <f t="shared" si="2"/>
        <v>290.10999999940299</v>
      </c>
      <c r="CM27" s="3">
        <f t="shared" si="2"/>
        <v>634.92000000079395</v>
      </c>
      <c r="CN27" s="3">
        <f t="shared" si="2"/>
        <v>451.61333333353201</v>
      </c>
    </row>
    <row r="28" spans="1:92" ht="12.75">
      <c r="A28" s="6">
        <f>MAX(C28:CN28)</f>
        <v>4943.3466666668601</v>
      </c>
      <c r="B28" s="1" t="s">
        <v>19</v>
      </c>
      <c r="C28" s="2">
        <f t="shared" ref="C28:CN28" si="3">MAX(C4:C23)</f>
        <v>1.0333333333333301</v>
      </c>
      <c r="D28" s="2">
        <f t="shared" si="3"/>
        <v>1.1666666666666601</v>
      </c>
      <c r="E28" s="2">
        <f t="shared" si="3"/>
        <v>0.99000000059604598</v>
      </c>
      <c r="F28" s="2">
        <f t="shared" si="3"/>
        <v>1.2899999996026299</v>
      </c>
      <c r="G28" s="2">
        <f t="shared" si="3"/>
        <v>1.4733333329359699</v>
      </c>
      <c r="H28" s="2">
        <f t="shared" si="3"/>
        <v>1.87666666706403</v>
      </c>
      <c r="I28" s="2">
        <f t="shared" si="3"/>
        <v>48.733333333333299</v>
      </c>
      <c r="J28" s="2">
        <f t="shared" si="3"/>
        <v>43.283333333333303</v>
      </c>
      <c r="K28" s="2">
        <f t="shared" si="3"/>
        <v>51.930000000198604</v>
      </c>
      <c r="L28" s="2">
        <f t="shared" si="3"/>
        <v>44.2633333325386</v>
      </c>
      <c r="M28" s="2">
        <f t="shared" si="3"/>
        <v>44.736666666467897</v>
      </c>
      <c r="N28" s="2">
        <f t="shared" si="3"/>
        <v>60.580000000198602</v>
      </c>
      <c r="O28" s="2">
        <f t="shared" si="3"/>
        <v>3.54333333273728</v>
      </c>
      <c r="P28" s="2">
        <f t="shared" si="3"/>
        <v>2.2700000007947199</v>
      </c>
      <c r="Q28" s="2">
        <f t="shared" si="3"/>
        <v>3.0333333333333301</v>
      </c>
      <c r="R28" s="2">
        <f t="shared" si="3"/>
        <v>3.3200000007947201</v>
      </c>
      <c r="S28" s="2">
        <f t="shared" si="3"/>
        <v>2.0633333335320101</v>
      </c>
      <c r="T28" s="2">
        <f t="shared" si="3"/>
        <v>2.4233333339293699</v>
      </c>
      <c r="U28" s="2">
        <f t="shared" si="3"/>
        <v>1.37666666706403</v>
      </c>
      <c r="V28" s="2">
        <f t="shared" si="3"/>
        <v>1.2</v>
      </c>
      <c r="W28" s="2">
        <f t="shared" si="3"/>
        <v>1.1000000000000001</v>
      </c>
      <c r="X28" s="2">
        <f t="shared" si="3"/>
        <v>1.17000000079472</v>
      </c>
      <c r="Y28" s="2">
        <f t="shared" si="3"/>
        <v>2.7399999996026301</v>
      </c>
      <c r="Z28" s="2">
        <f t="shared" si="3"/>
        <v>1.35999999940395</v>
      </c>
      <c r="AA28" s="2">
        <f t="shared" si="3"/>
        <v>16.173333332935901</v>
      </c>
      <c r="AB28" s="2">
        <f t="shared" si="3"/>
        <v>11.55</v>
      </c>
      <c r="AC28" s="2">
        <f t="shared" si="3"/>
        <v>16.783333333333299</v>
      </c>
      <c r="AD28" s="2">
        <f t="shared" si="3"/>
        <v>18.513333333532</v>
      </c>
      <c r="AE28" s="2">
        <f t="shared" si="3"/>
        <v>15.093333332737201</v>
      </c>
      <c r="AF28" s="2">
        <f t="shared" si="3"/>
        <v>14.6066666662693</v>
      </c>
      <c r="AG28" s="2">
        <f t="shared" si="3"/>
        <v>3.0000000198682101E-2</v>
      </c>
      <c r="AH28" s="2">
        <f t="shared" si="3"/>
        <v>6.3333333532015396E-2</v>
      </c>
      <c r="AI28" s="2">
        <f t="shared" si="3"/>
        <v>2.66666670640309E-2</v>
      </c>
      <c r="AJ28" s="2">
        <f t="shared" si="3"/>
        <v>5.6666667262713098E-2</v>
      </c>
      <c r="AK28" s="2">
        <f t="shared" si="3"/>
        <v>3.66666674613952E-2</v>
      </c>
      <c r="AL28" s="2">
        <f t="shared" si="3"/>
        <v>0.05</v>
      </c>
      <c r="AM28" s="2">
        <f t="shared" si="3"/>
        <v>0.74333333373069699</v>
      </c>
      <c r="AN28" s="2">
        <f t="shared" si="3"/>
        <v>0.72333333293596902</v>
      </c>
      <c r="AO28" s="2">
        <f t="shared" si="3"/>
        <v>1.0033333331346499</v>
      </c>
      <c r="AP28" s="2">
        <f t="shared" si="3"/>
        <v>1.16999999980131</v>
      </c>
      <c r="AQ28" s="2">
        <f t="shared" si="3"/>
        <v>0.95666666626930197</v>
      </c>
      <c r="AR28" s="2">
        <f t="shared" si="3"/>
        <v>0.76000000039736404</v>
      </c>
      <c r="AS28" s="2">
        <f t="shared" si="3"/>
        <v>51.546666667858702</v>
      </c>
      <c r="AT28" s="2">
        <f t="shared" si="3"/>
        <v>47.683333333333302</v>
      </c>
      <c r="AU28" s="2">
        <f t="shared" si="3"/>
        <v>47.8333333333333</v>
      </c>
      <c r="AV28" s="2">
        <f t="shared" si="3"/>
        <v>55.6233333329359</v>
      </c>
      <c r="AW28" s="2">
        <f t="shared" si="3"/>
        <v>42.013106326240049</v>
      </c>
      <c r="AX28" s="2">
        <f t="shared" si="3"/>
        <v>59.323333333929298</v>
      </c>
      <c r="AY28" s="2">
        <f t="shared" si="3"/>
        <v>3.7899999996026299</v>
      </c>
      <c r="AZ28" s="2">
        <f t="shared" si="3"/>
        <v>2.2599999994039499</v>
      </c>
      <c r="BA28" s="2">
        <f t="shared" si="3"/>
        <v>2.3033333341280602</v>
      </c>
      <c r="BB28" s="2">
        <f t="shared" si="3"/>
        <v>2.5166666666666599</v>
      </c>
      <c r="BC28" s="2">
        <f t="shared" si="3"/>
        <v>2.86666666666666</v>
      </c>
      <c r="BD28" s="2">
        <f t="shared" si="3"/>
        <v>1.92666666607062</v>
      </c>
      <c r="BE28" s="2">
        <f t="shared" si="3"/>
        <v>2545.60666666626</v>
      </c>
      <c r="BF28" s="3">
        <f t="shared" si="3"/>
        <v>396.96000000039697</v>
      </c>
      <c r="BG28" s="3">
        <f t="shared" si="3"/>
        <v>3349.9866666664602</v>
      </c>
      <c r="BH28" s="3">
        <f t="shared" si="3"/>
        <v>394.14666666686497</v>
      </c>
      <c r="BI28" s="3">
        <f t="shared" si="3"/>
        <v>377.310000000397</v>
      </c>
      <c r="BJ28" s="3">
        <f t="shared" si="3"/>
        <v>243</v>
      </c>
      <c r="BK28" s="3">
        <f t="shared" si="3"/>
        <v>561.84000000059598</v>
      </c>
      <c r="BL28" s="3">
        <f t="shared" si="3"/>
        <v>1999.2</v>
      </c>
      <c r="BM28" s="3">
        <f t="shared" si="3"/>
        <v>1922.65666666626</v>
      </c>
      <c r="BN28" s="3">
        <f t="shared" si="3"/>
        <v>2776.2300000001901</v>
      </c>
      <c r="BO28" s="3">
        <f t="shared" si="3"/>
        <v>837.48333333333301</v>
      </c>
      <c r="BP28" s="3">
        <f t="shared" si="3"/>
        <v>308.123333333929</v>
      </c>
      <c r="BQ28" s="3">
        <f t="shared" si="3"/>
        <v>2985.19666666686</v>
      </c>
      <c r="BR28" s="3">
        <f t="shared" si="3"/>
        <v>412.723333332935</v>
      </c>
      <c r="BS28" s="3">
        <f t="shared" si="3"/>
        <v>722.82000000079404</v>
      </c>
      <c r="BT28" s="3">
        <f t="shared" si="3"/>
        <v>2559.5033333331298</v>
      </c>
      <c r="BU28" s="3">
        <f t="shared" si="3"/>
        <v>372.97333333392902</v>
      </c>
      <c r="BV28" s="3">
        <f t="shared" si="3"/>
        <v>250.20999999940301</v>
      </c>
      <c r="BW28" s="3">
        <f t="shared" si="3"/>
        <v>1352.18666666646</v>
      </c>
      <c r="BX28" s="3">
        <f t="shared" si="3"/>
        <v>462.01666666567297</v>
      </c>
      <c r="BY28" s="3">
        <f t="shared" si="3"/>
        <v>2038.31333333353</v>
      </c>
      <c r="BZ28" s="3">
        <f t="shared" si="3"/>
        <v>1860.2699999997999</v>
      </c>
      <c r="CA28" s="3">
        <f t="shared" si="3"/>
        <v>3489.5666666666598</v>
      </c>
      <c r="CB28" s="3">
        <f t="shared" si="3"/>
        <v>3215.16000000039</v>
      </c>
      <c r="CC28" s="3">
        <f t="shared" si="3"/>
        <v>2460.6533333331299</v>
      </c>
      <c r="CD28" s="3">
        <f t="shared" si="3"/>
        <v>4943.3466666668601</v>
      </c>
      <c r="CE28" s="3">
        <f t="shared" si="3"/>
        <v>633.63666666646702</v>
      </c>
      <c r="CF28" s="3">
        <f t="shared" si="3"/>
        <v>1511.4266666670601</v>
      </c>
      <c r="CG28" s="3">
        <f t="shared" si="3"/>
        <v>2065.9866666674602</v>
      </c>
      <c r="CH28" s="3">
        <f t="shared" si="3"/>
        <v>445.82000000079398</v>
      </c>
      <c r="CI28" s="3">
        <f t="shared" si="3"/>
        <v>2006.4599999994</v>
      </c>
      <c r="CJ28" s="3">
        <f t="shared" si="3"/>
        <v>1235.04000000059</v>
      </c>
      <c r="CK28" s="3">
        <f t="shared" si="3"/>
        <v>520.65</v>
      </c>
      <c r="CL28" s="3">
        <f t="shared" si="3"/>
        <v>302.81999999980098</v>
      </c>
      <c r="CM28" s="3">
        <f t="shared" si="3"/>
        <v>706.063333333532</v>
      </c>
      <c r="CN28" s="3">
        <f t="shared" si="3"/>
        <v>466.71333333353198</v>
      </c>
    </row>
    <row r="29" spans="1:92" ht="12.75">
      <c r="A29" s="4" t="s">
        <v>20</v>
      </c>
    </row>
    <row r="30" spans="1:92" ht="12.75">
      <c r="A30" s="7">
        <f>MIN(C25:CN25)</f>
        <v>1.8666666696468923E-2</v>
      </c>
    </row>
    <row r="31" spans="1:92" ht="12.75">
      <c r="A31" s="5" t="s">
        <v>21</v>
      </c>
    </row>
    <row r="32" spans="1:92" ht="12.75">
      <c r="A32" s="7">
        <f>MAX(C25:CN25)</f>
        <v>2083.2244999999266</v>
      </c>
    </row>
  </sheetData>
  <mergeCells count="20">
    <mergeCell ref="C1:T1"/>
    <mergeCell ref="U1:AL1"/>
    <mergeCell ref="AM1:BD1"/>
    <mergeCell ref="BE1:BV1"/>
    <mergeCell ref="BW1:CN1"/>
    <mergeCell ref="C2:H2"/>
    <mergeCell ref="I2:N2"/>
    <mergeCell ref="CI2:CN2"/>
    <mergeCell ref="AS2:AX2"/>
    <mergeCell ref="AY2:BD2"/>
    <mergeCell ref="BE2:BJ2"/>
    <mergeCell ref="BK2:BP2"/>
    <mergeCell ref="BQ2:BV2"/>
    <mergeCell ref="O2:T2"/>
    <mergeCell ref="U2:Z2"/>
    <mergeCell ref="AA2:AF2"/>
    <mergeCell ref="AG2:AL2"/>
    <mergeCell ref="AM2:AR2"/>
    <mergeCell ref="BW2:CB2"/>
    <mergeCell ref="CC2:CH2"/>
  </mergeCells>
  <conditionalFormatting sqref="C25:CN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CN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0E96-BC14-4817-BDD6-5F3CB60EA792}">
  <dimension ref="A1:CM14"/>
  <sheetViews>
    <sheetView topLeftCell="BI1" workbookViewId="0">
      <selection activeCell="CM8" sqref="CM8"/>
    </sheetView>
  </sheetViews>
  <sheetFormatPr defaultRowHeight="12.75"/>
  <cols>
    <col min="1" max="1" width="10.42578125" bestFit="1" customWidth="1"/>
    <col min="2" max="2" width="13.28515625" bestFit="1" customWidth="1"/>
    <col min="3" max="3" width="21.140625" bestFit="1" customWidth="1"/>
    <col min="4" max="4" width="12.42578125" bestFit="1" customWidth="1"/>
    <col min="5" max="5" width="7.85546875" bestFit="1" customWidth="1"/>
    <col min="6" max="6" width="8.7109375" bestFit="1" customWidth="1"/>
    <col min="7" max="7" width="14.42578125" bestFit="1" customWidth="1"/>
    <col min="8" max="8" width="13.28515625" bestFit="1" customWidth="1"/>
    <col min="9" max="9" width="21.140625" bestFit="1" customWidth="1"/>
    <col min="10" max="10" width="12.42578125" bestFit="1" customWidth="1"/>
    <col min="11" max="11" width="7.85546875" bestFit="1" customWidth="1"/>
    <col min="12" max="12" width="8.7109375" bestFit="1" customWidth="1"/>
    <col min="13" max="13" width="8" bestFit="1" customWidth="1"/>
    <col min="14" max="14" width="13.28515625" bestFit="1" customWidth="1"/>
    <col min="15" max="15" width="21.140625" bestFit="1" customWidth="1"/>
    <col min="16" max="16" width="12.42578125" bestFit="1" customWidth="1"/>
    <col min="17" max="19" width="11.140625" bestFit="1" customWidth="1"/>
    <col min="20" max="20" width="13.28515625" bestFit="1" customWidth="1"/>
    <col min="21" max="21" width="21.140625" bestFit="1" customWidth="1"/>
    <col min="22" max="22" width="12.42578125" bestFit="1" customWidth="1"/>
    <col min="23" max="23" width="6.7109375" bestFit="1" customWidth="1"/>
    <col min="24" max="24" width="8.7109375" bestFit="1" customWidth="1"/>
    <col min="25" max="25" width="8" bestFit="1" customWidth="1"/>
    <col min="26" max="26" width="13.28515625" bestFit="1" customWidth="1"/>
    <col min="27" max="27" width="21.140625" bestFit="1" customWidth="1"/>
    <col min="28" max="28" width="12.42578125" bestFit="1" customWidth="1"/>
    <col min="29" max="29" width="6.7109375" bestFit="1" customWidth="1"/>
    <col min="30" max="30" width="8.7109375" bestFit="1" customWidth="1"/>
    <col min="31" max="31" width="8" bestFit="1" customWidth="1"/>
    <col min="32" max="32" width="13.28515625" bestFit="1" customWidth="1"/>
    <col min="33" max="33" width="21.140625" bestFit="1" customWidth="1"/>
    <col min="34" max="34" width="12.42578125" bestFit="1" customWidth="1"/>
    <col min="35" max="35" width="6.7109375" bestFit="1" customWidth="1"/>
    <col min="36" max="36" width="8.7109375" bestFit="1" customWidth="1"/>
    <col min="37" max="37" width="8" bestFit="1" customWidth="1"/>
    <col min="38" max="38" width="13.28515625" bestFit="1" customWidth="1"/>
    <col min="39" max="39" width="21.140625" bestFit="1" customWidth="1"/>
    <col min="40" max="40" width="12.42578125" bestFit="1" customWidth="1"/>
    <col min="41" max="41" width="6.7109375" bestFit="1" customWidth="1"/>
    <col min="42" max="42" width="8.7109375" bestFit="1" customWidth="1"/>
    <col min="43" max="43" width="8" bestFit="1" customWidth="1"/>
    <col min="44" max="44" width="13.28515625" bestFit="1" customWidth="1"/>
    <col min="45" max="45" width="21.140625" bestFit="1" customWidth="1"/>
    <col min="46" max="46" width="12.42578125" bestFit="1" customWidth="1"/>
    <col min="47" max="47" width="6.7109375" bestFit="1" customWidth="1"/>
    <col min="48" max="48" width="8.7109375" bestFit="1" customWidth="1"/>
    <col min="49" max="49" width="8" bestFit="1" customWidth="1"/>
    <col min="50" max="50" width="13.28515625" bestFit="1" customWidth="1"/>
    <col min="51" max="51" width="21.140625" bestFit="1" customWidth="1"/>
    <col min="52" max="52" width="12.42578125" bestFit="1" customWidth="1"/>
    <col min="53" max="53" width="6.7109375" bestFit="1" customWidth="1"/>
    <col min="54" max="54" width="8.7109375" bestFit="1" customWidth="1"/>
    <col min="55" max="55" width="8" bestFit="1" customWidth="1"/>
    <col min="56" max="56" width="13.28515625" bestFit="1" customWidth="1"/>
    <col min="57" max="57" width="21.140625" bestFit="1" customWidth="1"/>
    <col min="58" max="58" width="12.42578125" bestFit="1" customWidth="1"/>
    <col min="59" max="59" width="6.7109375" bestFit="1" customWidth="1"/>
    <col min="60" max="60" width="8.7109375" bestFit="1" customWidth="1"/>
    <col min="61" max="61" width="8" bestFit="1" customWidth="1"/>
    <col min="62" max="62" width="13.28515625" bestFit="1" customWidth="1"/>
    <col min="63" max="63" width="21.140625" bestFit="1" customWidth="1"/>
    <col min="64" max="64" width="12.42578125" bestFit="1" customWidth="1"/>
    <col min="65" max="65" width="6.7109375" bestFit="1" customWidth="1"/>
    <col min="66" max="66" width="8.7109375" bestFit="1" customWidth="1"/>
    <col min="67" max="67" width="8" bestFit="1" customWidth="1"/>
    <col min="68" max="68" width="13.28515625" bestFit="1" customWidth="1"/>
    <col min="69" max="69" width="21.140625" bestFit="1" customWidth="1"/>
    <col min="70" max="70" width="12.42578125" bestFit="1" customWidth="1"/>
    <col min="71" max="71" width="6.7109375" bestFit="1" customWidth="1"/>
    <col min="72" max="72" width="8.7109375" bestFit="1" customWidth="1"/>
    <col min="73" max="73" width="8" bestFit="1" customWidth="1"/>
    <col min="74" max="74" width="13.28515625" bestFit="1" customWidth="1"/>
    <col min="75" max="75" width="21.140625" bestFit="1" customWidth="1"/>
    <col min="76" max="76" width="12.42578125" bestFit="1" customWidth="1"/>
    <col min="77" max="77" width="5.5703125" bestFit="1" customWidth="1"/>
    <col min="78" max="78" width="8.7109375" bestFit="1" customWidth="1"/>
    <col min="79" max="79" width="8" bestFit="1" customWidth="1"/>
    <col min="80" max="80" width="13.28515625" bestFit="1" customWidth="1"/>
    <col min="81" max="81" width="21.140625" bestFit="1" customWidth="1"/>
    <col min="82" max="82" width="12.42578125" bestFit="1" customWidth="1"/>
    <col min="83" max="83" width="5.5703125" bestFit="1" customWidth="1"/>
    <col min="84" max="84" width="8.7109375" bestFit="1" customWidth="1"/>
    <col min="85" max="85" width="8" bestFit="1" customWidth="1"/>
    <col min="86" max="86" width="10.42578125" bestFit="1" customWidth="1"/>
    <col min="87" max="87" width="21.140625" bestFit="1" customWidth="1"/>
    <col min="88" max="88" width="12.42578125" bestFit="1" customWidth="1"/>
    <col min="89" max="89" width="6.7109375" bestFit="1" customWidth="1"/>
    <col min="90" max="90" width="8.7109375" bestFit="1" customWidth="1"/>
    <col min="91" max="91" width="8" bestFit="1" customWidth="1"/>
  </cols>
  <sheetData>
    <row r="1" spans="1:91" ht="16.5" thickTop="1" thickBot="1">
      <c r="B1" s="22" t="s">
        <v>1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1" t="s">
        <v>2</v>
      </c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0" t="s">
        <v>4</v>
      </c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1" t="s">
        <v>3</v>
      </c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0" t="s">
        <v>0</v>
      </c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</row>
    <row r="2" spans="1:91" ht="16.5" thickTop="1" thickBot="1">
      <c r="B2" s="20" t="s">
        <v>7</v>
      </c>
      <c r="C2" s="20"/>
      <c r="D2" s="20"/>
      <c r="E2" s="20"/>
      <c r="F2" s="20"/>
      <c r="G2" s="20"/>
      <c r="H2" s="21" t="s">
        <v>6</v>
      </c>
      <c r="I2" s="21"/>
      <c r="J2" s="21"/>
      <c r="K2" s="21"/>
      <c r="L2" s="21"/>
      <c r="M2" s="21"/>
      <c r="N2" s="20" t="s">
        <v>5</v>
      </c>
      <c r="O2" s="20"/>
      <c r="P2" s="20"/>
      <c r="Q2" s="20"/>
      <c r="R2" s="20"/>
      <c r="S2" s="20"/>
      <c r="T2" s="21" t="s">
        <v>7</v>
      </c>
      <c r="U2" s="21"/>
      <c r="V2" s="21"/>
      <c r="W2" s="21"/>
      <c r="X2" s="21"/>
      <c r="Y2" s="21"/>
      <c r="Z2" s="20" t="s">
        <v>6</v>
      </c>
      <c r="AA2" s="20"/>
      <c r="AB2" s="20"/>
      <c r="AC2" s="20"/>
      <c r="AD2" s="20"/>
      <c r="AE2" s="20"/>
      <c r="AF2" s="21" t="s">
        <v>5</v>
      </c>
      <c r="AG2" s="21"/>
      <c r="AH2" s="21"/>
      <c r="AI2" s="21"/>
      <c r="AJ2" s="21"/>
      <c r="AK2" s="21"/>
      <c r="AL2" s="20" t="s">
        <v>7</v>
      </c>
      <c r="AM2" s="20"/>
      <c r="AN2" s="20"/>
      <c r="AO2" s="20"/>
      <c r="AP2" s="20"/>
      <c r="AQ2" s="20"/>
      <c r="AR2" s="21" t="s">
        <v>6</v>
      </c>
      <c r="AS2" s="21"/>
      <c r="AT2" s="21"/>
      <c r="AU2" s="21"/>
      <c r="AV2" s="21"/>
      <c r="AW2" s="21"/>
      <c r="AX2" s="20" t="s">
        <v>5</v>
      </c>
      <c r="AY2" s="20"/>
      <c r="AZ2" s="20"/>
      <c r="BA2" s="20"/>
      <c r="BB2" s="20"/>
      <c r="BC2" s="20"/>
      <c r="BD2" s="21" t="s">
        <v>7</v>
      </c>
      <c r="BE2" s="21"/>
      <c r="BF2" s="21"/>
      <c r="BG2" s="21"/>
      <c r="BH2" s="21"/>
      <c r="BI2" s="21"/>
      <c r="BJ2" s="20" t="s">
        <v>6</v>
      </c>
      <c r="BK2" s="20"/>
      <c r="BL2" s="20"/>
      <c r="BM2" s="20"/>
      <c r="BN2" s="20"/>
      <c r="BO2" s="20"/>
      <c r="BP2" s="21" t="s">
        <v>5</v>
      </c>
      <c r="BQ2" s="21"/>
      <c r="BR2" s="21"/>
      <c r="BS2" s="21"/>
      <c r="BT2" s="21"/>
      <c r="BU2" s="21"/>
      <c r="BV2" s="20" t="s">
        <v>7</v>
      </c>
      <c r="BW2" s="20"/>
      <c r="BX2" s="20"/>
      <c r="BY2" s="20"/>
      <c r="BZ2" s="20"/>
      <c r="CA2" s="20"/>
      <c r="CB2" s="21" t="s">
        <v>6</v>
      </c>
      <c r="CC2" s="21"/>
      <c r="CD2" s="21"/>
      <c r="CE2" s="21"/>
      <c r="CF2" s="21"/>
      <c r="CG2" s="21"/>
      <c r="CH2" s="20" t="s">
        <v>5</v>
      </c>
      <c r="CI2" s="20"/>
      <c r="CJ2" s="20"/>
      <c r="CK2" s="20"/>
      <c r="CL2" s="20"/>
      <c r="CM2" s="20"/>
    </row>
    <row r="3" spans="1:91" ht="16.5" thickTop="1" thickBot="1">
      <c r="B3" s="9" t="s">
        <v>12</v>
      </c>
      <c r="C3" s="9" t="s">
        <v>8</v>
      </c>
      <c r="D3" s="9" t="s">
        <v>9</v>
      </c>
      <c r="E3" s="9" t="s">
        <v>11</v>
      </c>
      <c r="F3" s="9" t="s">
        <v>13</v>
      </c>
      <c r="G3" s="9" t="s">
        <v>10</v>
      </c>
      <c r="H3" s="11" t="s">
        <v>12</v>
      </c>
      <c r="I3" s="11" t="s">
        <v>8</v>
      </c>
      <c r="J3" s="11" t="s">
        <v>9</v>
      </c>
      <c r="K3" s="11" t="s">
        <v>11</v>
      </c>
      <c r="L3" s="11" t="s">
        <v>13</v>
      </c>
      <c r="M3" s="11" t="s">
        <v>10</v>
      </c>
      <c r="N3" s="9" t="s">
        <v>12</v>
      </c>
      <c r="O3" s="9" t="s">
        <v>8</v>
      </c>
      <c r="P3" s="9" t="s">
        <v>9</v>
      </c>
      <c r="Q3" s="9" t="s">
        <v>11</v>
      </c>
      <c r="R3" s="9" t="s">
        <v>13</v>
      </c>
      <c r="S3" s="9" t="s">
        <v>10</v>
      </c>
      <c r="T3" s="11" t="s">
        <v>12</v>
      </c>
      <c r="U3" s="11" t="s">
        <v>8</v>
      </c>
      <c r="V3" s="11" t="s">
        <v>9</v>
      </c>
      <c r="W3" s="11" t="s">
        <v>11</v>
      </c>
      <c r="X3" s="11" t="s">
        <v>13</v>
      </c>
      <c r="Y3" s="11" t="s">
        <v>10</v>
      </c>
      <c r="Z3" s="9" t="s">
        <v>12</v>
      </c>
      <c r="AA3" s="9" t="s">
        <v>8</v>
      </c>
      <c r="AB3" s="9" t="s">
        <v>9</v>
      </c>
      <c r="AC3" s="9" t="s">
        <v>11</v>
      </c>
      <c r="AD3" s="9" t="s">
        <v>13</v>
      </c>
      <c r="AE3" s="9" t="s">
        <v>10</v>
      </c>
      <c r="AF3" s="11" t="s">
        <v>12</v>
      </c>
      <c r="AG3" s="11" t="s">
        <v>8</v>
      </c>
      <c r="AH3" s="11" t="s">
        <v>9</v>
      </c>
      <c r="AI3" s="11" t="s">
        <v>11</v>
      </c>
      <c r="AJ3" s="11" t="s">
        <v>13</v>
      </c>
      <c r="AK3" s="11" t="s">
        <v>10</v>
      </c>
      <c r="AL3" s="9" t="s">
        <v>12</v>
      </c>
      <c r="AM3" s="9" t="s">
        <v>8</v>
      </c>
      <c r="AN3" s="9" t="s">
        <v>9</v>
      </c>
      <c r="AO3" s="9" t="s">
        <v>11</v>
      </c>
      <c r="AP3" s="9" t="s">
        <v>13</v>
      </c>
      <c r="AQ3" s="9" t="s">
        <v>10</v>
      </c>
      <c r="AR3" s="11" t="s">
        <v>12</v>
      </c>
      <c r="AS3" s="11" t="s">
        <v>8</v>
      </c>
      <c r="AT3" s="11" t="s">
        <v>9</v>
      </c>
      <c r="AU3" s="11" t="s">
        <v>11</v>
      </c>
      <c r="AV3" s="11" t="s">
        <v>13</v>
      </c>
      <c r="AW3" s="11" t="s">
        <v>10</v>
      </c>
      <c r="AX3" s="9" t="s">
        <v>12</v>
      </c>
      <c r="AY3" s="9" t="s">
        <v>8</v>
      </c>
      <c r="AZ3" s="9" t="s">
        <v>9</v>
      </c>
      <c r="BA3" s="9" t="s">
        <v>11</v>
      </c>
      <c r="BB3" s="9" t="s">
        <v>13</v>
      </c>
      <c r="BC3" s="9" t="s">
        <v>10</v>
      </c>
      <c r="BD3" s="11" t="s">
        <v>12</v>
      </c>
      <c r="BE3" s="11" t="s">
        <v>8</v>
      </c>
      <c r="BF3" s="11" t="s">
        <v>9</v>
      </c>
      <c r="BG3" s="11" t="s">
        <v>11</v>
      </c>
      <c r="BH3" s="11" t="s">
        <v>13</v>
      </c>
      <c r="BI3" s="11" t="s">
        <v>10</v>
      </c>
      <c r="BJ3" s="9" t="s">
        <v>12</v>
      </c>
      <c r="BK3" s="9" t="s">
        <v>8</v>
      </c>
      <c r="BL3" s="9" t="s">
        <v>9</v>
      </c>
      <c r="BM3" s="9" t="s">
        <v>11</v>
      </c>
      <c r="BN3" s="9" t="s">
        <v>13</v>
      </c>
      <c r="BO3" s="9" t="s">
        <v>10</v>
      </c>
      <c r="BP3" s="11" t="s">
        <v>12</v>
      </c>
      <c r="BQ3" s="11" t="s">
        <v>8</v>
      </c>
      <c r="BR3" s="11" t="s">
        <v>9</v>
      </c>
      <c r="BS3" s="11" t="s">
        <v>11</v>
      </c>
      <c r="BT3" s="11" t="s">
        <v>13</v>
      </c>
      <c r="BU3" s="11" t="s">
        <v>10</v>
      </c>
      <c r="BV3" s="9" t="s">
        <v>12</v>
      </c>
      <c r="BW3" s="9" t="s">
        <v>8</v>
      </c>
      <c r="BX3" s="9" t="s">
        <v>9</v>
      </c>
      <c r="BY3" s="9" t="s">
        <v>11</v>
      </c>
      <c r="BZ3" s="9" t="s">
        <v>13</v>
      </c>
      <c r="CA3" s="9" t="s">
        <v>10</v>
      </c>
      <c r="CB3" s="11" t="s">
        <v>12</v>
      </c>
      <c r="CC3" s="11" t="s">
        <v>8</v>
      </c>
      <c r="CD3" s="11" t="s">
        <v>9</v>
      </c>
      <c r="CE3" s="11" t="s">
        <v>11</v>
      </c>
      <c r="CF3" s="11" t="s">
        <v>13</v>
      </c>
      <c r="CG3" s="11" t="s">
        <v>10</v>
      </c>
      <c r="CH3" s="9" t="s">
        <v>12</v>
      </c>
      <c r="CI3" s="9" t="s">
        <v>8</v>
      </c>
      <c r="CJ3" s="9" t="s">
        <v>9</v>
      </c>
      <c r="CK3" s="9" t="s">
        <v>11</v>
      </c>
      <c r="CL3" s="9" t="s">
        <v>13</v>
      </c>
      <c r="CM3" s="9" t="s">
        <v>10</v>
      </c>
    </row>
    <row r="4" spans="1:91" ht="16.5" thickTop="1" thickBot="1">
      <c r="B4" s="9">
        <v>93290</v>
      </c>
      <c r="C4" s="9">
        <v>91686</v>
      </c>
      <c r="D4" s="9">
        <v>104363</v>
      </c>
      <c r="E4" s="9">
        <v>115964</v>
      </c>
      <c r="F4" s="9">
        <v>76729</v>
      </c>
      <c r="G4" s="9">
        <v>92999</v>
      </c>
      <c r="H4" s="11">
        <v>93290</v>
      </c>
      <c r="I4" s="11">
        <v>91686</v>
      </c>
      <c r="J4" s="11">
        <v>104363</v>
      </c>
      <c r="K4" s="11">
        <v>115964</v>
      </c>
      <c r="L4" s="11">
        <v>76729</v>
      </c>
      <c r="M4" s="11">
        <v>92999</v>
      </c>
      <c r="N4" s="9">
        <v>194015</v>
      </c>
      <c r="O4" s="9">
        <v>189773</v>
      </c>
      <c r="P4" s="9">
        <v>225133</v>
      </c>
      <c r="Q4" s="9">
        <v>256765</v>
      </c>
      <c r="R4" s="9">
        <v>148902</v>
      </c>
      <c r="S4" s="9">
        <v>194803</v>
      </c>
      <c r="T4" s="11">
        <v>56353</v>
      </c>
      <c r="U4" s="11">
        <v>40534</v>
      </c>
      <c r="V4" s="11">
        <v>15487</v>
      </c>
      <c r="W4" s="11">
        <v>15526</v>
      </c>
      <c r="X4" s="11">
        <v>62348</v>
      </c>
      <c r="Y4" s="11">
        <v>17590</v>
      </c>
      <c r="Z4" s="9">
        <v>56353</v>
      </c>
      <c r="AA4" s="9">
        <v>40534</v>
      </c>
      <c r="AB4" s="9">
        <v>15487</v>
      </c>
      <c r="AC4" s="9">
        <v>15526</v>
      </c>
      <c r="AD4" s="9">
        <v>62348</v>
      </c>
      <c r="AE4" s="9">
        <v>17590</v>
      </c>
      <c r="AF4" s="11">
        <v>170323</v>
      </c>
      <c r="AG4" s="11">
        <v>105493</v>
      </c>
      <c r="AH4" s="11">
        <v>23618</v>
      </c>
      <c r="AI4" s="11">
        <v>24561</v>
      </c>
      <c r="AJ4" s="11">
        <v>182444</v>
      </c>
      <c r="AK4" s="11">
        <v>25811</v>
      </c>
      <c r="AL4" s="9">
        <v>13675</v>
      </c>
      <c r="AM4" s="9">
        <v>15082</v>
      </c>
      <c r="AN4" s="9">
        <v>13756</v>
      </c>
      <c r="AO4" s="9">
        <v>15471</v>
      </c>
      <c r="AP4" s="9">
        <v>11450</v>
      </c>
      <c r="AQ4" s="9">
        <v>14494</v>
      </c>
      <c r="AR4" s="11">
        <v>13675</v>
      </c>
      <c r="AS4" s="11">
        <v>15082</v>
      </c>
      <c r="AT4" s="11">
        <v>13756</v>
      </c>
      <c r="AU4" s="11">
        <v>15471</v>
      </c>
      <c r="AV4" s="11">
        <v>11450</v>
      </c>
      <c r="AW4" s="11">
        <v>14494</v>
      </c>
      <c r="AX4" s="9">
        <v>22141</v>
      </c>
      <c r="AY4" s="9">
        <v>24637</v>
      </c>
      <c r="AZ4" s="9">
        <v>21776</v>
      </c>
      <c r="BA4" s="9">
        <v>24731</v>
      </c>
      <c r="BB4" s="9">
        <v>19089</v>
      </c>
      <c r="BC4" s="9">
        <v>23208</v>
      </c>
      <c r="BD4" s="11">
        <v>10882</v>
      </c>
      <c r="BE4" s="11">
        <v>11759</v>
      </c>
      <c r="BF4" s="11">
        <v>9992</v>
      </c>
      <c r="BG4" s="11">
        <v>12375</v>
      </c>
      <c r="BH4" s="11">
        <v>10077</v>
      </c>
      <c r="BI4" s="11">
        <v>11175</v>
      </c>
      <c r="BJ4" s="9">
        <v>10882</v>
      </c>
      <c r="BK4" s="9">
        <v>11759</v>
      </c>
      <c r="BL4" s="9">
        <v>9992</v>
      </c>
      <c r="BM4" s="9">
        <v>12375</v>
      </c>
      <c r="BN4" s="9">
        <v>10077</v>
      </c>
      <c r="BO4" s="9">
        <v>11175</v>
      </c>
      <c r="BP4" s="11">
        <v>15830</v>
      </c>
      <c r="BQ4" s="11">
        <v>17173</v>
      </c>
      <c r="BR4" s="11">
        <v>16086</v>
      </c>
      <c r="BS4" s="11">
        <v>22044</v>
      </c>
      <c r="BT4" s="11">
        <v>11827</v>
      </c>
      <c r="BU4" s="11">
        <v>16081</v>
      </c>
      <c r="BV4" s="9">
        <v>52899</v>
      </c>
      <c r="BW4" s="9">
        <v>37296</v>
      </c>
      <c r="BX4" s="9">
        <v>10565</v>
      </c>
      <c r="BY4" s="9">
        <v>8733</v>
      </c>
      <c r="BZ4" s="9">
        <v>61193</v>
      </c>
      <c r="CA4" s="9">
        <v>14546</v>
      </c>
      <c r="CB4" s="11">
        <v>52899</v>
      </c>
      <c r="CC4" s="11">
        <v>37296</v>
      </c>
      <c r="CD4" s="11">
        <v>10565</v>
      </c>
      <c r="CE4" s="11">
        <v>8733</v>
      </c>
      <c r="CF4" s="11">
        <v>61193</v>
      </c>
      <c r="CG4" s="11">
        <v>14546</v>
      </c>
      <c r="CH4" s="9">
        <v>163842</v>
      </c>
      <c r="CI4" s="9">
        <v>99142</v>
      </c>
      <c r="CJ4" s="9">
        <v>15287</v>
      </c>
      <c r="CK4" s="9">
        <v>14257</v>
      </c>
      <c r="CL4" s="9">
        <v>178863</v>
      </c>
      <c r="CM4" s="9">
        <v>19460</v>
      </c>
    </row>
    <row r="5" spans="1:91" ht="16.5" thickTop="1" thickBot="1">
      <c r="B5" s="9">
        <v>93290</v>
      </c>
      <c r="C5" s="9">
        <v>91686</v>
      </c>
      <c r="D5" s="9">
        <v>104363</v>
      </c>
      <c r="E5" s="9">
        <v>115964</v>
      </c>
      <c r="F5" s="9">
        <v>76729</v>
      </c>
      <c r="G5" s="9">
        <v>92999</v>
      </c>
      <c r="H5" s="11">
        <v>93290</v>
      </c>
      <c r="I5" s="11">
        <v>91686</v>
      </c>
      <c r="J5" s="11">
        <v>104363</v>
      </c>
      <c r="K5" s="11">
        <v>115964</v>
      </c>
      <c r="L5" s="11">
        <v>76729</v>
      </c>
      <c r="M5" s="11">
        <v>92999</v>
      </c>
      <c r="N5" s="9">
        <v>194015</v>
      </c>
      <c r="O5" s="9">
        <v>189773</v>
      </c>
      <c r="P5" s="9">
        <v>225133</v>
      </c>
      <c r="Q5" s="9">
        <v>256765</v>
      </c>
      <c r="R5" s="9">
        <v>148902</v>
      </c>
      <c r="S5" s="9">
        <v>194803</v>
      </c>
      <c r="T5" s="11">
        <v>56353</v>
      </c>
      <c r="U5" s="11">
        <v>40534</v>
      </c>
      <c r="V5" s="11">
        <v>15487</v>
      </c>
      <c r="W5" s="11">
        <v>15526</v>
      </c>
      <c r="X5" s="11">
        <v>62348</v>
      </c>
      <c r="Y5" s="11">
        <v>17590</v>
      </c>
      <c r="Z5" s="9">
        <v>56353</v>
      </c>
      <c r="AA5" s="9">
        <v>40534</v>
      </c>
      <c r="AB5" s="9">
        <v>15487</v>
      </c>
      <c r="AC5" s="9">
        <v>15526</v>
      </c>
      <c r="AD5" s="9">
        <v>62348</v>
      </c>
      <c r="AE5" s="9">
        <v>17590</v>
      </c>
      <c r="AF5" s="11">
        <v>170323</v>
      </c>
      <c r="AG5" s="11">
        <v>105493</v>
      </c>
      <c r="AH5" s="11">
        <v>23618</v>
      </c>
      <c r="AI5" s="11">
        <v>24561</v>
      </c>
      <c r="AJ5" s="11">
        <v>182444</v>
      </c>
      <c r="AK5" s="11">
        <v>25811</v>
      </c>
      <c r="AL5" s="9">
        <v>13675</v>
      </c>
      <c r="AM5" s="9">
        <v>15082</v>
      </c>
      <c r="AN5" s="9">
        <v>13756</v>
      </c>
      <c r="AO5" s="9">
        <v>15471</v>
      </c>
      <c r="AP5" s="9">
        <v>11450</v>
      </c>
      <c r="AQ5" s="9">
        <v>14494</v>
      </c>
      <c r="AR5" s="11">
        <v>13675</v>
      </c>
      <c r="AS5" s="11">
        <v>15082</v>
      </c>
      <c r="AT5" s="11">
        <v>13756</v>
      </c>
      <c r="AU5" s="11">
        <v>15471</v>
      </c>
      <c r="AV5" s="11">
        <v>11450</v>
      </c>
      <c r="AW5" s="11">
        <v>14494</v>
      </c>
      <c r="AX5" s="9">
        <v>22141</v>
      </c>
      <c r="AY5" s="9">
        <v>24637</v>
      </c>
      <c r="AZ5" s="9">
        <v>21776</v>
      </c>
      <c r="BA5" s="9">
        <v>24731</v>
      </c>
      <c r="BB5" s="9">
        <v>19089</v>
      </c>
      <c r="BC5" s="9">
        <v>23208</v>
      </c>
      <c r="BD5" s="11">
        <v>10882</v>
      </c>
      <c r="BE5" s="11">
        <v>11759</v>
      </c>
      <c r="BF5" s="11">
        <v>9992</v>
      </c>
      <c r="BG5" s="11">
        <v>12375</v>
      </c>
      <c r="BH5" s="11">
        <v>10077</v>
      </c>
      <c r="BI5" s="11">
        <v>11175</v>
      </c>
      <c r="BJ5" s="9">
        <v>10882</v>
      </c>
      <c r="BK5" s="9">
        <v>11759</v>
      </c>
      <c r="BL5" s="9">
        <v>9992</v>
      </c>
      <c r="BM5" s="9">
        <v>12375</v>
      </c>
      <c r="BN5" s="9">
        <v>10077</v>
      </c>
      <c r="BO5" s="9">
        <v>11175</v>
      </c>
      <c r="BP5" s="11">
        <v>15830</v>
      </c>
      <c r="BQ5" s="11">
        <v>17173</v>
      </c>
      <c r="BR5" s="11">
        <v>16086</v>
      </c>
      <c r="BS5" s="11">
        <v>22044</v>
      </c>
      <c r="BT5" s="11">
        <v>11827</v>
      </c>
      <c r="BU5" s="11">
        <v>16081</v>
      </c>
      <c r="BV5" s="9">
        <v>52899</v>
      </c>
      <c r="BW5" s="9">
        <v>37296</v>
      </c>
      <c r="BX5" s="9">
        <v>10565</v>
      </c>
      <c r="BY5" s="9">
        <v>8733</v>
      </c>
      <c r="BZ5" s="9">
        <v>61193</v>
      </c>
      <c r="CA5" s="9">
        <v>14546</v>
      </c>
      <c r="CB5" s="11">
        <v>52899</v>
      </c>
      <c r="CC5" s="11">
        <v>37296</v>
      </c>
      <c r="CD5" s="11">
        <v>10565</v>
      </c>
      <c r="CE5" s="11">
        <v>8733</v>
      </c>
      <c r="CF5" s="11">
        <v>61193</v>
      </c>
      <c r="CG5" s="11">
        <v>14546</v>
      </c>
      <c r="CH5" s="9">
        <v>163842</v>
      </c>
      <c r="CI5" s="9">
        <v>99142</v>
      </c>
      <c r="CJ5" s="9">
        <v>15287</v>
      </c>
      <c r="CK5" s="9">
        <v>14257</v>
      </c>
      <c r="CL5" s="9">
        <v>178863</v>
      </c>
      <c r="CM5" s="9">
        <v>19460</v>
      </c>
    </row>
    <row r="6" spans="1:91" ht="16.5" thickTop="1" thickBot="1">
      <c r="B6" s="9">
        <v>93290</v>
      </c>
      <c r="C6" s="9">
        <v>91686</v>
      </c>
      <c r="D6" s="9">
        <v>104363</v>
      </c>
      <c r="E6" s="9">
        <v>115964</v>
      </c>
      <c r="F6" s="9">
        <v>76729</v>
      </c>
      <c r="G6" s="9">
        <v>92999</v>
      </c>
      <c r="H6" s="11">
        <v>93290</v>
      </c>
      <c r="I6" s="11">
        <v>91686</v>
      </c>
      <c r="J6" s="11">
        <v>104363</v>
      </c>
      <c r="K6" s="11">
        <v>115964</v>
      </c>
      <c r="L6" s="11">
        <v>76729</v>
      </c>
      <c r="M6" s="11">
        <v>92999</v>
      </c>
      <c r="N6" s="9">
        <v>194015</v>
      </c>
      <c r="O6" s="9">
        <v>189773</v>
      </c>
      <c r="P6" s="9">
        <v>225133</v>
      </c>
      <c r="Q6" s="9">
        <v>256765</v>
      </c>
      <c r="R6" s="9">
        <v>148902</v>
      </c>
      <c r="S6" s="9">
        <v>194803</v>
      </c>
      <c r="T6" s="11">
        <v>56353</v>
      </c>
      <c r="U6" s="11">
        <v>40534</v>
      </c>
      <c r="V6" s="11">
        <v>15487</v>
      </c>
      <c r="W6" s="11">
        <v>15526</v>
      </c>
      <c r="X6" s="11">
        <v>62348</v>
      </c>
      <c r="Y6" s="11">
        <v>17590</v>
      </c>
      <c r="Z6" s="9">
        <v>56353</v>
      </c>
      <c r="AA6" s="9">
        <v>40534</v>
      </c>
      <c r="AB6" s="9">
        <v>15487</v>
      </c>
      <c r="AC6" s="9">
        <v>15526</v>
      </c>
      <c r="AD6" s="9">
        <v>62348</v>
      </c>
      <c r="AE6" s="9">
        <v>17590</v>
      </c>
      <c r="AF6" s="11">
        <v>170323</v>
      </c>
      <c r="AG6" s="11">
        <v>105493</v>
      </c>
      <c r="AH6" s="11">
        <v>23618</v>
      </c>
      <c r="AI6" s="11">
        <v>24561</v>
      </c>
      <c r="AJ6" s="11">
        <v>182444</v>
      </c>
      <c r="AK6" s="11">
        <v>25811</v>
      </c>
      <c r="AL6" s="9">
        <v>13675</v>
      </c>
      <c r="AM6" s="9">
        <v>15082</v>
      </c>
      <c r="AN6" s="9">
        <v>13756</v>
      </c>
      <c r="AO6" s="9">
        <v>15471</v>
      </c>
      <c r="AP6" s="9">
        <v>11450</v>
      </c>
      <c r="AQ6" s="9">
        <v>14494</v>
      </c>
      <c r="AR6" s="11">
        <v>13675</v>
      </c>
      <c r="AS6" s="11">
        <v>15082</v>
      </c>
      <c r="AT6" s="11">
        <v>13756</v>
      </c>
      <c r="AU6" s="11">
        <v>15471</v>
      </c>
      <c r="AV6" s="11">
        <v>11450</v>
      </c>
      <c r="AW6" s="11">
        <v>14494</v>
      </c>
      <c r="AX6" s="9">
        <v>22141</v>
      </c>
      <c r="AY6" s="9">
        <v>24637</v>
      </c>
      <c r="AZ6" s="9">
        <v>21776</v>
      </c>
      <c r="BA6" s="9">
        <v>24731</v>
      </c>
      <c r="BB6" s="9">
        <v>19089</v>
      </c>
      <c r="BC6" s="9">
        <v>23208</v>
      </c>
      <c r="BD6" s="11">
        <v>10882</v>
      </c>
      <c r="BE6" s="11">
        <v>11759</v>
      </c>
      <c r="BF6" s="11">
        <v>9992</v>
      </c>
      <c r="BG6" s="11">
        <v>12375</v>
      </c>
      <c r="BH6" s="11">
        <v>10077</v>
      </c>
      <c r="BI6" s="11">
        <v>11175</v>
      </c>
      <c r="BJ6" s="9">
        <v>10882</v>
      </c>
      <c r="BK6" s="9">
        <v>11759</v>
      </c>
      <c r="BL6" s="9">
        <v>9992</v>
      </c>
      <c r="BM6" s="9">
        <v>12375</v>
      </c>
      <c r="BN6" s="9">
        <v>10077</v>
      </c>
      <c r="BO6" s="9">
        <v>11175</v>
      </c>
      <c r="BP6" s="11">
        <v>15830</v>
      </c>
      <c r="BQ6" s="11">
        <v>17173</v>
      </c>
      <c r="BR6" s="11">
        <v>16086</v>
      </c>
      <c r="BS6" s="11">
        <v>22044</v>
      </c>
      <c r="BT6" s="11">
        <v>11827</v>
      </c>
      <c r="BU6" s="11">
        <v>16081</v>
      </c>
      <c r="BV6" s="9">
        <v>52899</v>
      </c>
      <c r="BW6" s="9">
        <v>37296</v>
      </c>
      <c r="BX6" s="9">
        <v>10565</v>
      </c>
      <c r="BY6" s="9">
        <v>8733</v>
      </c>
      <c r="BZ6" s="9">
        <v>61193</v>
      </c>
      <c r="CA6" s="9">
        <v>14546</v>
      </c>
      <c r="CB6" s="11">
        <v>52899</v>
      </c>
      <c r="CC6" s="11">
        <v>37296</v>
      </c>
      <c r="CD6" s="11">
        <v>10565</v>
      </c>
      <c r="CE6" s="11">
        <v>8733</v>
      </c>
      <c r="CF6" s="11">
        <v>61193</v>
      </c>
      <c r="CG6" s="11">
        <v>14546</v>
      </c>
      <c r="CH6" s="9">
        <v>163842</v>
      </c>
      <c r="CI6" s="9">
        <v>99142</v>
      </c>
      <c r="CJ6" s="9">
        <v>15287</v>
      </c>
      <c r="CK6" s="9">
        <v>14257</v>
      </c>
      <c r="CL6" s="9">
        <v>178863</v>
      </c>
      <c r="CM6" s="9">
        <v>19460</v>
      </c>
    </row>
    <row r="7" spans="1:91" ht="16.5" thickTop="1" thickBot="1">
      <c r="B7" s="9">
        <v>93290</v>
      </c>
      <c r="C7" s="9">
        <v>91686</v>
      </c>
      <c r="D7" s="9">
        <v>104363</v>
      </c>
      <c r="E7" s="9">
        <v>115964</v>
      </c>
      <c r="F7" s="9">
        <v>76729</v>
      </c>
      <c r="G7" s="9">
        <v>92999</v>
      </c>
      <c r="H7" s="11">
        <v>93290</v>
      </c>
      <c r="I7" s="11">
        <v>91686</v>
      </c>
      <c r="J7" s="11">
        <v>104363</v>
      </c>
      <c r="K7" s="11">
        <v>115964</v>
      </c>
      <c r="L7" s="11">
        <v>76729</v>
      </c>
      <c r="M7" s="11">
        <v>92999</v>
      </c>
      <c r="N7" s="9">
        <v>194015</v>
      </c>
      <c r="O7" s="9">
        <v>189773</v>
      </c>
      <c r="P7" s="9">
        <v>225133</v>
      </c>
      <c r="Q7" s="9">
        <v>256765</v>
      </c>
      <c r="R7" s="9">
        <v>148902</v>
      </c>
      <c r="S7" s="9">
        <v>194803</v>
      </c>
      <c r="T7" s="11">
        <v>56353</v>
      </c>
      <c r="U7" s="11">
        <v>40534</v>
      </c>
      <c r="V7" s="11">
        <v>15487</v>
      </c>
      <c r="W7" s="11">
        <v>15526</v>
      </c>
      <c r="X7" s="11">
        <v>62348</v>
      </c>
      <c r="Y7" s="11">
        <v>17590</v>
      </c>
      <c r="Z7" s="9">
        <v>56353</v>
      </c>
      <c r="AA7" s="9">
        <v>40534</v>
      </c>
      <c r="AB7" s="9">
        <v>15487</v>
      </c>
      <c r="AC7" s="9">
        <v>15526</v>
      </c>
      <c r="AD7" s="9">
        <v>62348</v>
      </c>
      <c r="AE7" s="9">
        <v>17590</v>
      </c>
      <c r="AF7" s="11">
        <v>170323</v>
      </c>
      <c r="AG7" s="11">
        <v>105493</v>
      </c>
      <c r="AH7" s="11">
        <v>23618</v>
      </c>
      <c r="AI7" s="11">
        <v>24561</v>
      </c>
      <c r="AJ7" s="11">
        <v>182444</v>
      </c>
      <c r="AK7" s="11">
        <v>25811</v>
      </c>
      <c r="AL7" s="9">
        <v>13675</v>
      </c>
      <c r="AM7" s="9">
        <v>15082</v>
      </c>
      <c r="AN7" s="9">
        <v>13756</v>
      </c>
      <c r="AO7" s="9">
        <v>15471</v>
      </c>
      <c r="AP7" s="9">
        <v>11450</v>
      </c>
      <c r="AQ7" s="9">
        <v>14494</v>
      </c>
      <c r="AR7" s="11">
        <v>13675</v>
      </c>
      <c r="AS7" s="11">
        <v>15082</v>
      </c>
      <c r="AT7" s="11">
        <v>13756</v>
      </c>
      <c r="AU7" s="11">
        <v>15471</v>
      </c>
      <c r="AV7" s="11">
        <v>11450</v>
      </c>
      <c r="AW7" s="11">
        <v>14494</v>
      </c>
      <c r="AX7" s="9">
        <v>22141</v>
      </c>
      <c r="AY7" s="9">
        <v>24637</v>
      </c>
      <c r="AZ7" s="9">
        <v>21776</v>
      </c>
      <c r="BA7" s="9">
        <v>24731</v>
      </c>
      <c r="BB7" s="9">
        <v>19089</v>
      </c>
      <c r="BC7" s="9">
        <v>23208</v>
      </c>
      <c r="BD7" s="11">
        <v>10882</v>
      </c>
      <c r="BE7" s="11">
        <v>11759</v>
      </c>
      <c r="BF7" s="11">
        <v>9992</v>
      </c>
      <c r="BG7" s="11">
        <v>12375</v>
      </c>
      <c r="BH7" s="11">
        <v>10077</v>
      </c>
      <c r="BI7" s="11">
        <v>11175</v>
      </c>
      <c r="BJ7" s="9">
        <v>10882</v>
      </c>
      <c r="BK7" s="9">
        <v>11759</v>
      </c>
      <c r="BL7" s="9">
        <v>9992</v>
      </c>
      <c r="BM7" s="9">
        <v>12375</v>
      </c>
      <c r="BN7" s="9">
        <v>10077</v>
      </c>
      <c r="BO7" s="9">
        <v>11175</v>
      </c>
      <c r="BP7" s="11">
        <v>15830</v>
      </c>
      <c r="BQ7" s="11">
        <v>17173</v>
      </c>
      <c r="BR7" s="11">
        <v>16086</v>
      </c>
      <c r="BS7" s="11">
        <v>22044</v>
      </c>
      <c r="BT7" s="11">
        <v>11827</v>
      </c>
      <c r="BU7" s="11">
        <v>16081</v>
      </c>
      <c r="BV7" s="9">
        <v>52899</v>
      </c>
      <c r="BW7" s="9">
        <v>37296</v>
      </c>
      <c r="BX7" s="9">
        <v>10565</v>
      </c>
      <c r="BY7" s="9">
        <v>8733</v>
      </c>
      <c r="BZ7" s="9">
        <v>61193</v>
      </c>
      <c r="CA7" s="9">
        <v>14546</v>
      </c>
      <c r="CB7" s="11">
        <v>52899</v>
      </c>
      <c r="CC7" s="11">
        <v>37296</v>
      </c>
      <c r="CD7" s="11">
        <v>10565</v>
      </c>
      <c r="CE7" s="11">
        <v>8733</v>
      </c>
      <c r="CF7" s="11">
        <v>61193</v>
      </c>
      <c r="CG7" s="11">
        <v>14546</v>
      </c>
      <c r="CH7" s="9">
        <v>163842</v>
      </c>
      <c r="CI7" s="9">
        <v>99142</v>
      </c>
      <c r="CJ7" s="9">
        <v>15287</v>
      </c>
      <c r="CK7" s="9">
        <v>14257</v>
      </c>
      <c r="CL7" s="9">
        <v>178863</v>
      </c>
      <c r="CM7" s="9">
        <v>19460</v>
      </c>
    </row>
    <row r="8" spans="1:91" ht="16.5" thickTop="1" thickBot="1">
      <c r="B8" s="9">
        <v>93290</v>
      </c>
      <c r="C8" s="9">
        <v>91686</v>
      </c>
      <c r="D8" s="9">
        <v>104363</v>
      </c>
      <c r="E8" s="9">
        <v>115964</v>
      </c>
      <c r="F8" s="9">
        <v>76729</v>
      </c>
      <c r="G8" s="9">
        <v>92999</v>
      </c>
      <c r="H8" s="11">
        <v>93290</v>
      </c>
      <c r="I8" s="11">
        <v>91686</v>
      </c>
      <c r="J8" s="11">
        <v>104363</v>
      </c>
      <c r="K8" s="11">
        <v>115964</v>
      </c>
      <c r="L8" s="11">
        <v>76729</v>
      </c>
      <c r="M8" s="11">
        <v>92999</v>
      </c>
      <c r="N8" s="9">
        <v>194015</v>
      </c>
      <c r="O8" s="9">
        <v>189773</v>
      </c>
      <c r="P8" s="9">
        <v>225133</v>
      </c>
      <c r="Q8" s="9">
        <v>256765</v>
      </c>
      <c r="R8" s="9">
        <v>148902</v>
      </c>
      <c r="S8" s="9">
        <v>194803</v>
      </c>
      <c r="T8" s="11">
        <v>56353</v>
      </c>
      <c r="U8" s="11">
        <v>40534</v>
      </c>
      <c r="V8" s="11">
        <v>15487</v>
      </c>
      <c r="W8" s="11">
        <v>15526</v>
      </c>
      <c r="X8" s="11">
        <v>62348</v>
      </c>
      <c r="Y8" s="11">
        <v>17590</v>
      </c>
      <c r="Z8" s="9">
        <v>56353</v>
      </c>
      <c r="AA8" s="9">
        <v>40534</v>
      </c>
      <c r="AB8" s="9">
        <v>15487</v>
      </c>
      <c r="AC8" s="9">
        <v>15526</v>
      </c>
      <c r="AD8" s="9">
        <v>62348</v>
      </c>
      <c r="AE8" s="9">
        <v>17590</v>
      </c>
      <c r="AF8" s="11">
        <v>170323</v>
      </c>
      <c r="AG8" s="11">
        <v>105493</v>
      </c>
      <c r="AH8" s="11">
        <v>23618</v>
      </c>
      <c r="AI8" s="11">
        <v>24561</v>
      </c>
      <c r="AJ8" s="11">
        <v>182444</v>
      </c>
      <c r="AK8" s="11">
        <v>25811</v>
      </c>
      <c r="AL8" s="9">
        <v>13675</v>
      </c>
      <c r="AM8" s="9">
        <v>15082</v>
      </c>
      <c r="AN8" s="9">
        <v>13756</v>
      </c>
      <c r="AO8" s="9">
        <v>15471</v>
      </c>
      <c r="AP8" s="9">
        <v>11450</v>
      </c>
      <c r="AQ8" s="9">
        <v>14494</v>
      </c>
      <c r="AR8" s="11">
        <v>13675</v>
      </c>
      <c r="AS8" s="11">
        <v>15082</v>
      </c>
      <c r="AT8" s="11">
        <v>13756</v>
      </c>
      <c r="AU8" s="11">
        <v>15471</v>
      </c>
      <c r="AV8" s="11">
        <v>11450</v>
      </c>
      <c r="AW8" s="11">
        <v>14494</v>
      </c>
      <c r="AX8" s="9">
        <v>22141</v>
      </c>
      <c r="AY8" s="9">
        <v>24637</v>
      </c>
      <c r="AZ8" s="9">
        <v>21776</v>
      </c>
      <c r="BA8" s="9">
        <v>24731</v>
      </c>
      <c r="BB8" s="9">
        <v>19089</v>
      </c>
      <c r="BC8" s="9">
        <v>23208</v>
      </c>
      <c r="BD8" s="11">
        <v>10882</v>
      </c>
      <c r="BE8" s="11">
        <v>11759</v>
      </c>
      <c r="BF8" s="11">
        <v>9992</v>
      </c>
      <c r="BG8" s="11">
        <v>12375</v>
      </c>
      <c r="BH8" s="11">
        <v>10077</v>
      </c>
      <c r="BI8" s="11">
        <v>11175</v>
      </c>
      <c r="BJ8" s="9">
        <v>10882</v>
      </c>
      <c r="BK8" s="9">
        <v>11759</v>
      </c>
      <c r="BL8" s="9">
        <v>9992</v>
      </c>
      <c r="BM8" s="9">
        <v>12375</v>
      </c>
      <c r="BN8" s="9">
        <v>10077</v>
      </c>
      <c r="BO8" s="9">
        <v>11175</v>
      </c>
      <c r="BP8" s="11">
        <v>15830</v>
      </c>
      <c r="BQ8" s="11">
        <v>17173</v>
      </c>
      <c r="BR8" s="11">
        <v>16086</v>
      </c>
      <c r="BS8" s="11">
        <v>22044</v>
      </c>
      <c r="BT8" s="11">
        <v>11827</v>
      </c>
      <c r="BU8" s="11">
        <v>16081</v>
      </c>
      <c r="BV8" s="9">
        <v>52899</v>
      </c>
      <c r="BW8" s="9">
        <v>37296</v>
      </c>
      <c r="BX8" s="9">
        <v>10565</v>
      </c>
      <c r="BY8" s="9">
        <v>8733</v>
      </c>
      <c r="BZ8" s="9">
        <v>61193</v>
      </c>
      <c r="CA8" s="9">
        <v>14546</v>
      </c>
      <c r="CB8" s="11">
        <v>52899</v>
      </c>
      <c r="CC8" s="11">
        <v>37296</v>
      </c>
      <c r="CD8" s="11">
        <v>10565</v>
      </c>
      <c r="CE8" s="11">
        <v>8733</v>
      </c>
      <c r="CF8" s="11">
        <v>61193</v>
      </c>
      <c r="CG8" s="11">
        <v>14546</v>
      </c>
      <c r="CH8" s="9">
        <v>163842</v>
      </c>
      <c r="CI8" s="9">
        <v>99142</v>
      </c>
      <c r="CJ8" s="9">
        <v>15287</v>
      </c>
      <c r="CK8" s="9">
        <v>14257</v>
      </c>
      <c r="CL8" s="9">
        <v>178863</v>
      </c>
      <c r="CM8" s="9">
        <v>19460</v>
      </c>
    </row>
    <row r="9" spans="1:91" ht="13.5" thickTop="1"/>
    <row r="10" spans="1:91">
      <c r="A10" s="15" t="s">
        <v>30</v>
      </c>
      <c r="B10">
        <f>AVERAGE(B4:B8)</f>
        <v>93290</v>
      </c>
      <c r="C10">
        <f t="shared" ref="C10:BN10" si="0">AVERAGE(C4:C8)</f>
        <v>91686</v>
      </c>
      <c r="D10">
        <f t="shared" si="0"/>
        <v>104363</v>
      </c>
      <c r="E10">
        <f t="shared" si="0"/>
        <v>115964</v>
      </c>
      <c r="F10">
        <f t="shared" si="0"/>
        <v>76729</v>
      </c>
      <c r="G10">
        <f t="shared" si="0"/>
        <v>92999</v>
      </c>
      <c r="H10">
        <f t="shared" si="0"/>
        <v>93290</v>
      </c>
      <c r="I10">
        <f t="shared" si="0"/>
        <v>91686</v>
      </c>
      <c r="J10">
        <f t="shared" si="0"/>
        <v>104363</v>
      </c>
      <c r="K10">
        <f t="shared" si="0"/>
        <v>115964</v>
      </c>
      <c r="L10">
        <f t="shared" si="0"/>
        <v>76729</v>
      </c>
      <c r="M10">
        <f t="shared" si="0"/>
        <v>92999</v>
      </c>
      <c r="N10">
        <f t="shared" si="0"/>
        <v>194015</v>
      </c>
      <c r="O10">
        <f t="shared" si="0"/>
        <v>189773</v>
      </c>
      <c r="P10">
        <f t="shared" si="0"/>
        <v>225133</v>
      </c>
      <c r="Q10">
        <f t="shared" si="0"/>
        <v>256765</v>
      </c>
      <c r="R10">
        <f t="shared" si="0"/>
        <v>148902</v>
      </c>
      <c r="S10">
        <f t="shared" si="0"/>
        <v>194803</v>
      </c>
      <c r="T10">
        <f t="shared" si="0"/>
        <v>56353</v>
      </c>
      <c r="U10">
        <f t="shared" si="0"/>
        <v>40534</v>
      </c>
      <c r="V10">
        <f t="shared" si="0"/>
        <v>15487</v>
      </c>
      <c r="W10">
        <f t="shared" si="0"/>
        <v>15526</v>
      </c>
      <c r="X10">
        <f t="shared" si="0"/>
        <v>62348</v>
      </c>
      <c r="Y10">
        <f t="shared" si="0"/>
        <v>17590</v>
      </c>
      <c r="Z10">
        <f t="shared" si="0"/>
        <v>56353</v>
      </c>
      <c r="AA10">
        <f t="shared" si="0"/>
        <v>40534</v>
      </c>
      <c r="AB10">
        <f t="shared" si="0"/>
        <v>15487</v>
      </c>
      <c r="AC10">
        <f t="shared" si="0"/>
        <v>15526</v>
      </c>
      <c r="AD10">
        <f t="shared" si="0"/>
        <v>62348</v>
      </c>
      <c r="AE10">
        <f t="shared" si="0"/>
        <v>17590</v>
      </c>
      <c r="AF10">
        <f t="shared" si="0"/>
        <v>170323</v>
      </c>
      <c r="AG10">
        <f t="shared" si="0"/>
        <v>105493</v>
      </c>
      <c r="AH10">
        <f t="shared" si="0"/>
        <v>23618</v>
      </c>
      <c r="AI10">
        <f t="shared" si="0"/>
        <v>24561</v>
      </c>
      <c r="AJ10">
        <f t="shared" si="0"/>
        <v>182444</v>
      </c>
      <c r="AK10">
        <f t="shared" si="0"/>
        <v>25811</v>
      </c>
      <c r="AL10">
        <f t="shared" si="0"/>
        <v>13675</v>
      </c>
      <c r="AM10">
        <f t="shared" si="0"/>
        <v>15082</v>
      </c>
      <c r="AN10">
        <f t="shared" si="0"/>
        <v>13756</v>
      </c>
      <c r="AO10">
        <f t="shared" si="0"/>
        <v>15471</v>
      </c>
      <c r="AP10">
        <f t="shared" si="0"/>
        <v>11450</v>
      </c>
      <c r="AQ10">
        <f t="shared" si="0"/>
        <v>14494</v>
      </c>
      <c r="AR10">
        <f t="shared" si="0"/>
        <v>13675</v>
      </c>
      <c r="AS10">
        <f t="shared" si="0"/>
        <v>15082</v>
      </c>
      <c r="AT10">
        <f t="shared" si="0"/>
        <v>13756</v>
      </c>
      <c r="AU10">
        <f t="shared" si="0"/>
        <v>15471</v>
      </c>
      <c r="AV10">
        <f t="shared" si="0"/>
        <v>11450</v>
      </c>
      <c r="AW10">
        <f t="shared" si="0"/>
        <v>14494</v>
      </c>
      <c r="AX10">
        <f t="shared" si="0"/>
        <v>22141</v>
      </c>
      <c r="AY10">
        <f t="shared" si="0"/>
        <v>24637</v>
      </c>
      <c r="AZ10">
        <f t="shared" si="0"/>
        <v>21776</v>
      </c>
      <c r="BA10">
        <f t="shared" si="0"/>
        <v>24731</v>
      </c>
      <c r="BB10">
        <f t="shared" si="0"/>
        <v>19089</v>
      </c>
      <c r="BC10">
        <f t="shared" si="0"/>
        <v>23208</v>
      </c>
      <c r="BD10">
        <f t="shared" si="0"/>
        <v>10882</v>
      </c>
      <c r="BE10">
        <f t="shared" si="0"/>
        <v>11759</v>
      </c>
      <c r="BF10">
        <f t="shared" si="0"/>
        <v>9992</v>
      </c>
      <c r="BG10">
        <f t="shared" si="0"/>
        <v>12375</v>
      </c>
      <c r="BH10">
        <f t="shared" si="0"/>
        <v>10077</v>
      </c>
      <c r="BI10">
        <f t="shared" si="0"/>
        <v>11175</v>
      </c>
      <c r="BJ10">
        <f t="shared" si="0"/>
        <v>10882</v>
      </c>
      <c r="BK10">
        <f t="shared" si="0"/>
        <v>11759</v>
      </c>
      <c r="BL10">
        <f t="shared" si="0"/>
        <v>9992</v>
      </c>
      <c r="BM10">
        <f t="shared" si="0"/>
        <v>12375</v>
      </c>
      <c r="BN10">
        <f t="shared" si="0"/>
        <v>10077</v>
      </c>
      <c r="BO10">
        <f t="shared" ref="BO10:CM10" si="1">AVERAGE(BO4:BO8)</f>
        <v>11175</v>
      </c>
      <c r="BP10">
        <f t="shared" si="1"/>
        <v>15830</v>
      </c>
      <c r="BQ10">
        <f t="shared" si="1"/>
        <v>17173</v>
      </c>
      <c r="BR10">
        <f t="shared" si="1"/>
        <v>16086</v>
      </c>
      <c r="BS10">
        <f t="shared" si="1"/>
        <v>22044</v>
      </c>
      <c r="BT10">
        <f t="shared" si="1"/>
        <v>11827</v>
      </c>
      <c r="BU10">
        <f t="shared" si="1"/>
        <v>16081</v>
      </c>
      <c r="BV10">
        <f t="shared" si="1"/>
        <v>52899</v>
      </c>
      <c r="BW10">
        <f t="shared" si="1"/>
        <v>37296</v>
      </c>
      <c r="BX10">
        <f t="shared" si="1"/>
        <v>10565</v>
      </c>
      <c r="BY10">
        <f t="shared" si="1"/>
        <v>8733</v>
      </c>
      <c r="BZ10">
        <f t="shared" si="1"/>
        <v>61193</v>
      </c>
      <c r="CA10">
        <f t="shared" si="1"/>
        <v>14546</v>
      </c>
      <c r="CB10">
        <f t="shared" si="1"/>
        <v>52899</v>
      </c>
      <c r="CC10">
        <f t="shared" si="1"/>
        <v>37296</v>
      </c>
      <c r="CD10">
        <f t="shared" si="1"/>
        <v>10565</v>
      </c>
      <c r="CE10">
        <f t="shared" si="1"/>
        <v>8733</v>
      </c>
      <c r="CF10">
        <f t="shared" si="1"/>
        <v>61193</v>
      </c>
      <c r="CG10">
        <f t="shared" si="1"/>
        <v>14546</v>
      </c>
      <c r="CH10">
        <f t="shared" si="1"/>
        <v>163842</v>
      </c>
      <c r="CI10">
        <f t="shared" si="1"/>
        <v>99142</v>
      </c>
      <c r="CJ10">
        <f t="shared" si="1"/>
        <v>15287</v>
      </c>
      <c r="CK10">
        <f t="shared" si="1"/>
        <v>14257</v>
      </c>
      <c r="CL10">
        <f t="shared" si="1"/>
        <v>178863</v>
      </c>
      <c r="CM10">
        <f t="shared" si="1"/>
        <v>19460</v>
      </c>
    </row>
    <row r="11" spans="1:91">
      <c r="A11" s="16" t="s">
        <v>14</v>
      </c>
    </row>
    <row r="12" spans="1:91">
      <c r="A12">
        <f>MIN(B10:CM10)</f>
        <v>8733</v>
      </c>
    </row>
    <row r="13" spans="1:91">
      <c r="A13" s="17" t="s">
        <v>17</v>
      </c>
    </row>
    <row r="14" spans="1:91">
      <c r="A14">
        <f>MAX(B10:CM10)</f>
        <v>256765</v>
      </c>
    </row>
  </sheetData>
  <mergeCells count="20">
    <mergeCell ref="B2:G2"/>
    <mergeCell ref="H2:M2"/>
    <mergeCell ref="N2:S2"/>
    <mergeCell ref="T2:Y2"/>
    <mergeCell ref="Z2:AE2"/>
    <mergeCell ref="B1:S1"/>
    <mergeCell ref="T1:AK1"/>
    <mergeCell ref="AL1:BC1"/>
    <mergeCell ref="BD1:BU1"/>
    <mergeCell ref="BV1:CM1"/>
    <mergeCell ref="BP2:BU2"/>
    <mergeCell ref="BV2:CA2"/>
    <mergeCell ref="CB2:CG2"/>
    <mergeCell ref="CH2:CM2"/>
    <mergeCell ref="AF2:AK2"/>
    <mergeCell ref="AL2:AQ2"/>
    <mergeCell ref="AR2:AW2"/>
    <mergeCell ref="AX2:BC2"/>
    <mergeCell ref="BD2:BI2"/>
    <mergeCell ref="BJ2:BO2"/>
  </mergeCells>
  <conditionalFormatting sqref="B10:CM1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E7DB3-4714-49D2-B75A-591DA175C8A2}">
  <dimension ref="A1:CM30"/>
  <sheetViews>
    <sheetView tabSelected="1" topLeftCell="O1" workbookViewId="0">
      <selection activeCell="AE7" sqref="AE7"/>
    </sheetView>
  </sheetViews>
  <sheetFormatPr defaultRowHeight="12.75"/>
  <cols>
    <col min="2" max="2" width="13.7109375" bestFit="1" customWidth="1"/>
    <col min="3" max="3" width="21.140625" bestFit="1" customWidth="1"/>
    <col min="4" max="7" width="13.7109375" bestFit="1" customWidth="1"/>
    <col min="8" max="8" width="13.28515625" bestFit="1" customWidth="1"/>
    <col min="9" max="9" width="21.140625" bestFit="1" customWidth="1"/>
    <col min="10" max="10" width="12.42578125" bestFit="1" customWidth="1"/>
    <col min="11" max="11" width="7.85546875" bestFit="1" customWidth="1"/>
    <col min="12" max="12" width="8.7109375" bestFit="1" customWidth="1"/>
    <col min="13" max="13" width="8" bestFit="1" customWidth="1"/>
    <col min="14" max="14" width="17.7109375" customWidth="1"/>
    <col min="15" max="15" width="21.140625" bestFit="1" customWidth="1"/>
    <col min="16" max="16" width="12.42578125" bestFit="1" customWidth="1"/>
    <col min="17" max="17" width="6.7109375" bestFit="1" customWidth="1"/>
    <col min="18" max="18" width="8.7109375" bestFit="1" customWidth="1"/>
    <col min="19" max="19" width="8" bestFit="1" customWidth="1"/>
    <col min="20" max="20" width="13.7109375" bestFit="1" customWidth="1"/>
    <col min="21" max="21" width="21.140625" bestFit="1" customWidth="1"/>
    <col min="22" max="23" width="13.7109375" bestFit="1" customWidth="1"/>
    <col min="24" max="24" width="8.7109375" bestFit="1" customWidth="1"/>
    <col min="25" max="25" width="13.7109375" bestFit="1" customWidth="1"/>
    <col min="26" max="26" width="13.28515625" bestFit="1" customWidth="1"/>
    <col min="27" max="27" width="21.140625" bestFit="1" customWidth="1"/>
    <col min="28" max="28" width="12.42578125" bestFit="1" customWidth="1"/>
    <col min="29" max="29" width="7.85546875" bestFit="1" customWidth="1"/>
    <col min="30" max="30" width="9" bestFit="1" customWidth="1"/>
    <col min="31" max="31" width="10.5703125" bestFit="1" customWidth="1"/>
    <col min="32" max="32" width="13.7109375" bestFit="1" customWidth="1"/>
    <col min="33" max="33" width="21.140625" bestFit="1" customWidth="1"/>
    <col min="34" max="34" width="13.7109375" bestFit="1" customWidth="1"/>
    <col min="35" max="35" width="6.7109375" bestFit="1" customWidth="1"/>
    <col min="36" max="38" width="13.7109375" bestFit="1" customWidth="1"/>
    <col min="39" max="39" width="21.140625" bestFit="1" customWidth="1"/>
    <col min="40" max="43" width="13.7109375" bestFit="1" customWidth="1"/>
    <col min="44" max="44" width="13.28515625" bestFit="1" customWidth="1"/>
    <col min="45" max="45" width="21.140625" bestFit="1" customWidth="1"/>
    <col min="46" max="46" width="12.42578125" bestFit="1" customWidth="1"/>
    <col min="47" max="47" width="7.85546875" bestFit="1" customWidth="1"/>
    <col min="48" max="48" width="8.7109375" bestFit="1" customWidth="1"/>
    <col min="49" max="49" width="8" bestFit="1" customWidth="1"/>
    <col min="50" max="50" width="13.28515625" bestFit="1" customWidth="1"/>
    <col min="51" max="51" width="21.140625" bestFit="1" customWidth="1"/>
    <col min="52" max="52" width="12.42578125" bestFit="1" customWidth="1"/>
    <col min="53" max="53" width="6.7109375" bestFit="1" customWidth="1"/>
    <col min="54" max="54" width="8.7109375" bestFit="1" customWidth="1"/>
    <col min="55" max="55" width="8" bestFit="1" customWidth="1"/>
    <col min="56" max="56" width="13.28515625" bestFit="1" customWidth="1"/>
    <col min="57" max="57" width="21.140625" bestFit="1" customWidth="1"/>
    <col min="58" max="58" width="12.42578125" bestFit="1" customWidth="1"/>
    <col min="59" max="59" width="6.7109375" bestFit="1" customWidth="1"/>
    <col min="60" max="60" width="8.7109375" bestFit="1" customWidth="1"/>
    <col min="61" max="61" width="8" bestFit="1" customWidth="1"/>
    <col min="62" max="62" width="13.28515625" bestFit="1" customWidth="1"/>
    <col min="63" max="63" width="21.140625" bestFit="1" customWidth="1"/>
    <col min="64" max="64" width="12.42578125" bestFit="1" customWidth="1"/>
    <col min="65" max="65" width="13.7109375" bestFit="1" customWidth="1"/>
    <col min="66" max="66" width="8.7109375" bestFit="1" customWidth="1"/>
    <col min="67" max="67" width="13.7109375" bestFit="1" customWidth="1"/>
    <col min="68" max="68" width="13.28515625" bestFit="1" customWidth="1"/>
    <col min="69" max="69" width="21.140625" bestFit="1" customWidth="1"/>
    <col min="70" max="70" width="12.42578125" bestFit="1" customWidth="1"/>
    <col min="71" max="71" width="6.7109375" bestFit="1" customWidth="1"/>
    <col min="72" max="72" width="8.7109375" bestFit="1" customWidth="1"/>
    <col min="73" max="73" width="8" bestFit="1" customWidth="1"/>
    <col min="74" max="74" width="13.7109375" bestFit="1" customWidth="1"/>
    <col min="75" max="75" width="21.140625" bestFit="1" customWidth="1"/>
    <col min="76" max="79" width="13.7109375" bestFit="1" customWidth="1"/>
    <col min="80" max="80" width="13.28515625" bestFit="1" customWidth="1"/>
    <col min="81" max="81" width="21.140625" bestFit="1" customWidth="1"/>
    <col min="82" max="82" width="12.42578125" bestFit="1" customWidth="1"/>
    <col min="83" max="83" width="7.85546875" bestFit="1" customWidth="1"/>
    <col min="84" max="84" width="8.7109375" bestFit="1" customWidth="1"/>
    <col min="85" max="85" width="8" bestFit="1" customWidth="1"/>
    <col min="86" max="86" width="13.7109375" bestFit="1" customWidth="1"/>
    <col min="87" max="87" width="21.140625" bestFit="1" customWidth="1"/>
    <col min="88" max="91" width="13.7109375" bestFit="1" customWidth="1"/>
  </cols>
  <sheetData>
    <row r="1" spans="2:91" ht="16.5" thickTop="1" thickBot="1">
      <c r="B1" s="20" t="s">
        <v>1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1" t="s">
        <v>2</v>
      </c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0" t="s">
        <v>4</v>
      </c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1" t="s">
        <v>3</v>
      </c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0" t="s">
        <v>0</v>
      </c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</row>
    <row r="2" spans="2:91" ht="16.5" thickTop="1" thickBot="1">
      <c r="B2" s="23" t="s">
        <v>7</v>
      </c>
      <c r="C2" s="24"/>
      <c r="D2" s="24"/>
      <c r="E2" s="24"/>
      <c r="F2" s="24"/>
      <c r="G2" s="25"/>
      <c r="H2" s="21" t="s">
        <v>6</v>
      </c>
      <c r="I2" s="21"/>
      <c r="J2" s="21"/>
      <c r="K2" s="21"/>
      <c r="L2" s="21"/>
      <c r="M2" s="21"/>
      <c r="N2" s="20" t="s">
        <v>5</v>
      </c>
      <c r="O2" s="20"/>
      <c r="P2" s="20"/>
      <c r="Q2" s="20"/>
      <c r="R2" s="20"/>
      <c r="S2" s="20"/>
      <c r="T2" s="21" t="s">
        <v>7</v>
      </c>
      <c r="U2" s="21"/>
      <c r="V2" s="21"/>
      <c r="W2" s="21"/>
      <c r="X2" s="21"/>
      <c r="Y2" s="21"/>
      <c r="Z2" s="20" t="s">
        <v>6</v>
      </c>
      <c r="AA2" s="20"/>
      <c r="AB2" s="20"/>
      <c r="AC2" s="20"/>
      <c r="AD2" s="20"/>
      <c r="AE2" s="20"/>
      <c r="AF2" s="21" t="s">
        <v>5</v>
      </c>
      <c r="AG2" s="21"/>
      <c r="AH2" s="21"/>
      <c r="AI2" s="21"/>
      <c r="AJ2" s="21"/>
      <c r="AK2" s="21"/>
      <c r="AL2" s="20" t="s">
        <v>7</v>
      </c>
      <c r="AM2" s="20"/>
      <c r="AN2" s="20"/>
      <c r="AO2" s="20"/>
      <c r="AP2" s="20"/>
      <c r="AQ2" s="20"/>
      <c r="AR2" s="21" t="s">
        <v>6</v>
      </c>
      <c r="AS2" s="21"/>
      <c r="AT2" s="21"/>
      <c r="AU2" s="21"/>
      <c r="AV2" s="21"/>
      <c r="AW2" s="21"/>
      <c r="AX2" s="20" t="s">
        <v>5</v>
      </c>
      <c r="AY2" s="20"/>
      <c r="AZ2" s="20"/>
      <c r="BA2" s="20"/>
      <c r="BB2" s="20"/>
      <c r="BC2" s="20"/>
      <c r="BD2" s="21" t="s">
        <v>7</v>
      </c>
      <c r="BE2" s="21"/>
      <c r="BF2" s="21"/>
      <c r="BG2" s="21"/>
      <c r="BH2" s="21"/>
      <c r="BI2" s="21"/>
      <c r="BJ2" s="20" t="s">
        <v>6</v>
      </c>
      <c r="BK2" s="20"/>
      <c r="BL2" s="20"/>
      <c r="BM2" s="20"/>
      <c r="BN2" s="20"/>
      <c r="BO2" s="20"/>
      <c r="BP2" s="21" t="s">
        <v>5</v>
      </c>
      <c r="BQ2" s="21"/>
      <c r="BR2" s="21"/>
      <c r="BS2" s="21"/>
      <c r="BT2" s="21"/>
      <c r="BU2" s="21"/>
      <c r="BV2" s="20" t="s">
        <v>7</v>
      </c>
      <c r="BW2" s="20"/>
      <c r="BX2" s="20"/>
      <c r="BY2" s="20"/>
      <c r="BZ2" s="20"/>
      <c r="CA2" s="20"/>
      <c r="CB2" s="21" t="s">
        <v>6</v>
      </c>
      <c r="CC2" s="21"/>
      <c r="CD2" s="21"/>
      <c r="CE2" s="21"/>
      <c r="CF2" s="21"/>
      <c r="CG2" s="21"/>
      <c r="CH2" s="20" t="s">
        <v>5</v>
      </c>
      <c r="CI2" s="20"/>
      <c r="CJ2" s="20"/>
      <c r="CK2" s="20"/>
      <c r="CL2" s="20"/>
      <c r="CM2" s="20"/>
    </row>
    <row r="3" spans="2:91" ht="16.5" thickTop="1" thickBot="1">
      <c r="B3" s="9" t="s">
        <v>12</v>
      </c>
      <c r="C3" s="9" t="s">
        <v>8</v>
      </c>
      <c r="D3" s="9" t="s">
        <v>9</v>
      </c>
      <c r="E3" s="9" t="s">
        <v>11</v>
      </c>
      <c r="F3" s="9" t="s">
        <v>13</v>
      </c>
      <c r="G3" s="9" t="s">
        <v>10</v>
      </c>
      <c r="H3" s="11" t="s">
        <v>12</v>
      </c>
      <c r="I3" s="11" t="s">
        <v>8</v>
      </c>
      <c r="J3" s="11" t="s">
        <v>9</v>
      </c>
      <c r="K3" s="11" t="s">
        <v>11</v>
      </c>
      <c r="L3" s="11" t="s">
        <v>13</v>
      </c>
      <c r="M3" s="11" t="s">
        <v>10</v>
      </c>
      <c r="N3" s="9" t="s">
        <v>12</v>
      </c>
      <c r="O3" s="9" t="s">
        <v>8</v>
      </c>
      <c r="P3" s="9" t="s">
        <v>9</v>
      </c>
      <c r="Q3" s="9" t="s">
        <v>11</v>
      </c>
      <c r="R3" s="9" t="s">
        <v>13</v>
      </c>
      <c r="S3" s="9" t="s">
        <v>10</v>
      </c>
      <c r="T3" s="11" t="s">
        <v>12</v>
      </c>
      <c r="U3" s="11" t="s">
        <v>8</v>
      </c>
      <c r="V3" s="11" t="s">
        <v>9</v>
      </c>
      <c r="W3" s="11" t="s">
        <v>11</v>
      </c>
      <c r="X3" s="11" t="s">
        <v>13</v>
      </c>
      <c r="Y3" s="11" t="s">
        <v>10</v>
      </c>
      <c r="Z3" s="9" t="s">
        <v>12</v>
      </c>
      <c r="AA3" s="9" t="s">
        <v>8</v>
      </c>
      <c r="AB3" s="9" t="s">
        <v>9</v>
      </c>
      <c r="AC3" s="9" t="s">
        <v>11</v>
      </c>
      <c r="AD3" s="9" t="s">
        <v>13</v>
      </c>
      <c r="AE3" s="9" t="s">
        <v>10</v>
      </c>
      <c r="AF3" s="11" t="s">
        <v>12</v>
      </c>
      <c r="AG3" s="11" t="s">
        <v>8</v>
      </c>
      <c r="AH3" s="11" t="s">
        <v>9</v>
      </c>
      <c r="AI3" s="11" t="s">
        <v>11</v>
      </c>
      <c r="AJ3" s="11" t="s">
        <v>13</v>
      </c>
      <c r="AK3" s="11" t="s">
        <v>10</v>
      </c>
      <c r="AL3" s="9" t="s">
        <v>12</v>
      </c>
      <c r="AM3" s="9" t="s">
        <v>8</v>
      </c>
      <c r="AN3" s="9" t="s">
        <v>9</v>
      </c>
      <c r="AO3" s="9" t="s">
        <v>11</v>
      </c>
      <c r="AP3" s="9" t="s">
        <v>13</v>
      </c>
      <c r="AQ3" s="9" t="s">
        <v>10</v>
      </c>
      <c r="AR3" s="11" t="s">
        <v>12</v>
      </c>
      <c r="AS3" s="11" t="s">
        <v>8</v>
      </c>
      <c r="AT3" s="11" t="s">
        <v>9</v>
      </c>
      <c r="AU3" s="11" t="s">
        <v>11</v>
      </c>
      <c r="AV3" s="11" t="s">
        <v>13</v>
      </c>
      <c r="AW3" s="11" t="s">
        <v>10</v>
      </c>
      <c r="AX3" s="9" t="s">
        <v>12</v>
      </c>
      <c r="AY3" s="9" t="s">
        <v>8</v>
      </c>
      <c r="AZ3" s="9" t="s">
        <v>9</v>
      </c>
      <c r="BA3" s="9" t="s">
        <v>11</v>
      </c>
      <c r="BB3" s="9" t="s">
        <v>13</v>
      </c>
      <c r="BC3" s="9" t="s">
        <v>10</v>
      </c>
      <c r="BD3" s="11" t="s">
        <v>12</v>
      </c>
      <c r="BE3" s="11" t="s">
        <v>8</v>
      </c>
      <c r="BF3" s="11" t="s">
        <v>9</v>
      </c>
      <c r="BG3" s="11" t="s">
        <v>11</v>
      </c>
      <c r="BH3" s="11" t="s">
        <v>13</v>
      </c>
      <c r="BI3" s="11" t="s">
        <v>10</v>
      </c>
      <c r="BJ3" s="9" t="s">
        <v>12</v>
      </c>
      <c r="BK3" s="9" t="s">
        <v>8</v>
      </c>
      <c r="BL3" s="9" t="s">
        <v>9</v>
      </c>
      <c r="BM3" s="9" t="s">
        <v>11</v>
      </c>
      <c r="BN3" s="9" t="s">
        <v>13</v>
      </c>
      <c r="BO3" s="9" t="s">
        <v>10</v>
      </c>
      <c r="BP3" s="11" t="s">
        <v>12</v>
      </c>
      <c r="BQ3" s="11" t="s">
        <v>8</v>
      </c>
      <c r="BR3" s="11" t="s">
        <v>9</v>
      </c>
      <c r="BS3" s="11" t="s">
        <v>11</v>
      </c>
      <c r="BT3" s="11" t="s">
        <v>13</v>
      </c>
      <c r="BU3" s="11" t="s">
        <v>10</v>
      </c>
      <c r="BV3" s="9" t="s">
        <v>12</v>
      </c>
      <c r="BW3" s="9" t="s">
        <v>8</v>
      </c>
      <c r="BX3" s="9" t="s">
        <v>9</v>
      </c>
      <c r="BY3" s="9" t="s">
        <v>11</v>
      </c>
      <c r="BZ3" s="9" t="s">
        <v>13</v>
      </c>
      <c r="CA3" s="9" t="s">
        <v>10</v>
      </c>
      <c r="CB3" s="11" t="s">
        <v>12</v>
      </c>
      <c r="CC3" s="11" t="s">
        <v>8</v>
      </c>
      <c r="CD3" s="11" t="s">
        <v>9</v>
      </c>
      <c r="CE3" s="11" t="s">
        <v>11</v>
      </c>
      <c r="CF3" s="11" t="s">
        <v>13</v>
      </c>
      <c r="CG3" s="11" t="s">
        <v>10</v>
      </c>
      <c r="CH3" s="9" t="s">
        <v>12</v>
      </c>
      <c r="CI3" s="9" t="s">
        <v>8</v>
      </c>
      <c r="CJ3" s="9" t="s">
        <v>9</v>
      </c>
      <c r="CK3" s="9" t="s">
        <v>11</v>
      </c>
      <c r="CL3" s="9" t="s">
        <v>13</v>
      </c>
      <c r="CM3" s="9" t="s">
        <v>10</v>
      </c>
    </row>
    <row r="4" spans="2:91" ht="16.5" thickTop="1" thickBot="1">
      <c r="B4" s="9">
        <v>0.50499999988824096</v>
      </c>
      <c r="C4" s="9">
        <v>0.71999999992549402</v>
      </c>
      <c r="D4" s="9">
        <v>0.80000000037252905</v>
      </c>
      <c r="E4" s="9">
        <v>0.78000000007450498</v>
      </c>
      <c r="F4" s="9">
        <v>0.43000000081956302</v>
      </c>
      <c r="G4" s="9">
        <v>0.64000000003725199</v>
      </c>
      <c r="H4" s="11">
        <v>22.674999999906799</v>
      </c>
      <c r="I4" s="11">
        <v>21.839999999944101</v>
      </c>
      <c r="J4" s="11">
        <v>33.465000000223498</v>
      </c>
      <c r="K4" s="11">
        <v>42.1250000002794</v>
      </c>
      <c r="L4" s="11">
        <v>10.860000000149</v>
      </c>
      <c r="M4" s="11">
        <v>23.275000000093101</v>
      </c>
      <c r="N4" s="9">
        <v>4.9999998882412902E-3</v>
      </c>
      <c r="O4" s="9">
        <v>9.9999999627470894E-3</v>
      </c>
      <c r="P4" s="9">
        <v>4.9999998882412902E-3</v>
      </c>
      <c r="Q4" s="9">
        <v>2.9999999888241199E-2</v>
      </c>
      <c r="R4" s="9">
        <v>1.50000000372529E-2</v>
      </c>
      <c r="S4" s="9">
        <v>9.9999997764825804E-3</v>
      </c>
      <c r="T4" s="11">
        <v>9.6300000006332898</v>
      </c>
      <c r="U4" s="11">
        <v>5.3900000002235098</v>
      </c>
      <c r="V4" s="11">
        <v>2.0149999998509802</v>
      </c>
      <c r="W4" s="11">
        <v>2.7999999998137302</v>
      </c>
      <c r="X4" s="11">
        <v>8.8099999997764797</v>
      </c>
      <c r="Y4" s="11">
        <v>2.3550000002607701</v>
      </c>
      <c r="Z4" s="9">
        <v>603.18499999977598</v>
      </c>
      <c r="AA4" s="9">
        <v>320.23999999994402</v>
      </c>
      <c r="AB4" s="9">
        <v>59.350000000186199</v>
      </c>
      <c r="AC4" s="9">
        <v>62.360000000055798</v>
      </c>
      <c r="AD4" s="9">
        <v>557.67499999981305</v>
      </c>
      <c r="AE4" s="9">
        <v>33.471927401400798</v>
      </c>
      <c r="AF4" s="11">
        <v>0.69499999992549399</v>
      </c>
      <c r="AG4" s="11">
        <v>0.31000000033527603</v>
      </c>
      <c r="AH4" s="11">
        <v>0.150000000372529</v>
      </c>
      <c r="AI4" s="11">
        <v>0.31000000033527603</v>
      </c>
      <c r="AJ4" s="11">
        <v>0.429999999888241</v>
      </c>
      <c r="AK4" s="11">
        <v>0.13500000089406899</v>
      </c>
      <c r="AL4" s="9">
        <v>6.3099999994039502</v>
      </c>
      <c r="AM4" s="9">
        <v>6.4699999984353704</v>
      </c>
      <c r="AN4" s="9">
        <v>7.5700000002980197</v>
      </c>
      <c r="AO4" s="9">
        <v>8.3799999989569098</v>
      </c>
      <c r="AP4" s="9">
        <v>5.0149999998509802</v>
      </c>
      <c r="AQ4" s="9">
        <v>6.5349999990314203</v>
      </c>
      <c r="AR4" s="11">
        <v>64.959999999031396</v>
      </c>
      <c r="AS4" s="11">
        <v>69.419999999180405</v>
      </c>
      <c r="AT4" s="11">
        <v>59.8849999990314</v>
      </c>
      <c r="AU4" s="11">
        <v>65.220000000298</v>
      </c>
      <c r="AV4" s="11">
        <v>50.664999999850899</v>
      </c>
      <c r="AW4" s="11">
        <v>58.155000000074502</v>
      </c>
      <c r="AX4" s="9">
        <v>4.73500000014901</v>
      </c>
      <c r="AY4" s="9">
        <v>4.7200000000186204</v>
      </c>
      <c r="AZ4" s="9">
        <v>5.5249999999068597</v>
      </c>
      <c r="BA4" s="9">
        <v>6.2100000000093099</v>
      </c>
      <c r="BB4" s="9">
        <v>3.9700000001117499</v>
      </c>
      <c r="BC4" s="9">
        <v>4.8100000002421401</v>
      </c>
      <c r="BD4" s="11">
        <v>1.2850000000791599</v>
      </c>
      <c r="BE4" s="11">
        <v>1.36499999994412</v>
      </c>
      <c r="BF4" s="11">
        <v>1.5800000000046499</v>
      </c>
      <c r="BG4" s="11">
        <v>2.0449999999982502</v>
      </c>
      <c r="BH4" s="11">
        <v>0.80999999999767103</v>
      </c>
      <c r="BI4" s="11">
        <v>1.2749999999883499</v>
      </c>
      <c r="BJ4" s="9">
        <v>33.529999999329398</v>
      </c>
      <c r="BK4" s="9">
        <v>34.945000000298002</v>
      </c>
      <c r="BL4" s="9">
        <v>46.364999999850902</v>
      </c>
      <c r="BM4" s="9">
        <v>0.56999999992549399</v>
      </c>
      <c r="BN4" s="9">
        <v>17.845000000670499</v>
      </c>
      <c r="BO4" s="9">
        <v>0.36999999992549398</v>
      </c>
      <c r="BP4" s="11">
        <v>0.33000000007450497</v>
      </c>
      <c r="BQ4" s="11">
        <v>0.32999999998137303</v>
      </c>
      <c r="BR4" s="11">
        <v>0.39000000003725199</v>
      </c>
      <c r="BS4" s="11">
        <v>0.52000000006519198</v>
      </c>
      <c r="BT4" s="11">
        <v>0.204999999934807</v>
      </c>
      <c r="BU4" s="11">
        <v>0.35000000009313198</v>
      </c>
      <c r="BV4" s="9">
        <v>1.8349999994039501</v>
      </c>
      <c r="BW4" s="9">
        <v>1.7399999998509801</v>
      </c>
      <c r="BX4" s="9">
        <v>2.19500000011175</v>
      </c>
      <c r="BY4" s="9">
        <v>2.3300000000745</v>
      </c>
      <c r="BZ4" s="9">
        <v>1.01500000022351</v>
      </c>
      <c r="CA4" s="9">
        <v>2.1349999997764799</v>
      </c>
      <c r="CB4" s="11">
        <v>32.985000000335198</v>
      </c>
      <c r="CC4" s="11">
        <v>34.314999999850897</v>
      </c>
      <c r="CD4" s="11">
        <v>47.310000000149003</v>
      </c>
      <c r="CE4" s="11">
        <v>63.790000000037203</v>
      </c>
      <c r="CF4" s="11">
        <v>17.015000000316601</v>
      </c>
      <c r="CG4" s="11">
        <v>35.529999999888197</v>
      </c>
      <c r="CH4" s="9">
        <v>9.5000000298023204E-2</v>
      </c>
      <c r="CI4" s="9">
        <v>0.10999999996274699</v>
      </c>
      <c r="CJ4" s="9">
        <v>0.17000000029802301</v>
      </c>
      <c r="CK4" s="9">
        <v>0.16999999918043601</v>
      </c>
      <c r="CL4" s="9">
        <v>5.9999999403953501E-2</v>
      </c>
      <c r="CM4" s="9">
        <v>7.9999999701976701E-2</v>
      </c>
    </row>
    <row r="5" spans="2:91" ht="16.5" thickTop="1" thickBot="1">
      <c r="B5" s="9">
        <v>0.67499999981373504</v>
      </c>
      <c r="C5" s="9">
        <v>0.570000000298023</v>
      </c>
      <c r="D5" s="9">
        <v>0.90499999988824098</v>
      </c>
      <c r="E5" s="9">
        <v>1.13000000026077</v>
      </c>
      <c r="F5" s="9">
        <v>0.51499999947845898</v>
      </c>
      <c r="G5" s="9">
        <v>0.84499999992549402</v>
      </c>
      <c r="H5" s="11">
        <v>23.8149999996647</v>
      </c>
      <c r="I5" s="11">
        <v>23.234999999869601</v>
      </c>
      <c r="J5" s="11">
        <v>34.600000000093097</v>
      </c>
      <c r="K5" s="11">
        <v>43.450000000186201</v>
      </c>
      <c r="L5" s="11">
        <v>11.630000000074499</v>
      </c>
      <c r="M5" s="11">
        <v>24.505000000074499</v>
      </c>
      <c r="N5" s="9">
        <v>9.9999999627470894E-3</v>
      </c>
      <c r="O5" s="9">
        <v>9.9999999627470894E-3</v>
      </c>
      <c r="P5" s="9">
        <v>2.00000001117587E-2</v>
      </c>
      <c r="Q5" s="9">
        <v>1.50000000372529E-2</v>
      </c>
      <c r="R5" s="9">
        <v>5.0000000745058001E-3</v>
      </c>
      <c r="S5" s="9">
        <v>1.00000001490116E-2</v>
      </c>
      <c r="T5" s="11">
        <v>9.2299999997019704</v>
      </c>
      <c r="U5" s="11">
        <v>6.74499999973923</v>
      </c>
      <c r="V5" s="11">
        <v>2.9049999993294402</v>
      </c>
      <c r="W5" s="11">
        <v>2.6250000003725198</v>
      </c>
      <c r="X5" s="11">
        <v>10.7400000002235</v>
      </c>
      <c r="Y5" s="11">
        <v>3.1550000000745002</v>
      </c>
      <c r="Z5" s="9">
        <v>593.44499999992502</v>
      </c>
      <c r="AA5" s="9">
        <v>322.31000000024198</v>
      </c>
      <c r="AB5" s="9">
        <v>58.395000000297998</v>
      </c>
      <c r="AC5" s="9">
        <v>63.485000000242103</v>
      </c>
      <c r="AD5" s="9">
        <v>571.62499999981299</v>
      </c>
      <c r="AE5" s="9">
        <v>26.649263720556405</v>
      </c>
      <c r="AF5" s="11">
        <v>0.56500000022351704</v>
      </c>
      <c r="AG5" s="11">
        <v>0.49999999944120599</v>
      </c>
      <c r="AH5" s="11">
        <v>0.14999999925494101</v>
      </c>
      <c r="AI5" s="11">
        <v>0.14499999992549401</v>
      </c>
      <c r="AJ5" s="11">
        <v>0.484999999776482</v>
      </c>
      <c r="AK5" s="11">
        <v>0.14999999962746999</v>
      </c>
      <c r="AL5" s="9">
        <v>6.38999999910593</v>
      </c>
      <c r="AM5" s="9">
        <v>6.4199999991804297</v>
      </c>
      <c r="AN5" s="9">
        <v>7.3099999994039502</v>
      </c>
      <c r="AO5" s="9">
        <v>8.3500000003725194</v>
      </c>
      <c r="AP5" s="9">
        <v>4.9849999997764796</v>
      </c>
      <c r="AQ5" s="9">
        <v>6.5400000017136302</v>
      </c>
      <c r="AR5" s="11">
        <v>64.890000000223495</v>
      </c>
      <c r="AS5" s="11">
        <v>69.159999999403894</v>
      </c>
      <c r="AT5" s="11">
        <v>59.144999999925403</v>
      </c>
      <c r="AU5" s="11">
        <v>65.594999999925406</v>
      </c>
      <c r="AV5" s="11">
        <v>50.349999999254898</v>
      </c>
      <c r="AW5" s="11">
        <v>57.914999999478397</v>
      </c>
      <c r="AX5" s="9">
        <v>4.7150000003166497</v>
      </c>
      <c r="AY5" s="9">
        <v>4.6999999999068596</v>
      </c>
      <c r="AZ5" s="9">
        <v>5.5149999999441199</v>
      </c>
      <c r="BA5" s="9">
        <v>6.2299999999348001</v>
      </c>
      <c r="BB5" s="9">
        <v>4.0200000002048899</v>
      </c>
      <c r="BC5" s="9">
        <v>4.7549999996088399</v>
      </c>
      <c r="BD5" s="11">
        <v>1.30499999998137</v>
      </c>
      <c r="BE5" s="11">
        <v>1.35499999995809</v>
      </c>
      <c r="BF5" s="11">
        <v>1.6350000000209499</v>
      </c>
      <c r="BG5" s="11">
        <v>2.11000000000349</v>
      </c>
      <c r="BH5" s="11">
        <v>0.840000000002328</v>
      </c>
      <c r="BI5" s="11">
        <v>1.2799999999930101</v>
      </c>
      <c r="BJ5" s="9">
        <v>33.4749999996274</v>
      </c>
      <c r="BK5" s="9">
        <v>34.674999999254901</v>
      </c>
      <c r="BL5" s="9">
        <v>45.985000000893997</v>
      </c>
      <c r="BM5" s="9">
        <v>0.515000000223517</v>
      </c>
      <c r="BN5" s="9">
        <v>17.470000000298</v>
      </c>
      <c r="BO5" s="9">
        <v>0.355000000074505</v>
      </c>
      <c r="BP5" s="11">
        <v>0.31999999992549399</v>
      </c>
      <c r="BQ5" s="11">
        <v>0.32500000009313201</v>
      </c>
      <c r="BR5" s="11">
        <v>0.41500000003725201</v>
      </c>
      <c r="BS5" s="11">
        <v>0.50500000016763802</v>
      </c>
      <c r="BT5" s="11">
        <v>0.205000000074505</v>
      </c>
      <c r="BU5" s="11">
        <v>0.32500000013969799</v>
      </c>
      <c r="BV5" s="9">
        <v>1.88000000026077</v>
      </c>
      <c r="BW5" s="9">
        <v>1.7699999995529601</v>
      </c>
      <c r="BX5" s="9">
        <v>2.3549999997019699</v>
      </c>
      <c r="BY5" s="9">
        <v>2.4649999996647201</v>
      </c>
      <c r="BZ5" s="9">
        <v>0.96500000022351695</v>
      </c>
      <c r="CA5" s="9">
        <v>1.6550000002607701</v>
      </c>
      <c r="CB5" s="11">
        <v>33.0299999999813</v>
      </c>
      <c r="CC5" s="11">
        <v>34.485000000055798</v>
      </c>
      <c r="CD5" s="11">
        <v>47.150000000093101</v>
      </c>
      <c r="CE5" s="11">
        <v>61.669999999925402</v>
      </c>
      <c r="CF5" s="11">
        <v>17.704999999888202</v>
      </c>
      <c r="CG5" s="11">
        <v>34.685000000149003</v>
      </c>
      <c r="CH5" s="9">
        <v>0.115000000223517</v>
      </c>
      <c r="CI5" s="9">
        <v>0.109999999776482</v>
      </c>
      <c r="CJ5" s="9">
        <v>0.16999999955296499</v>
      </c>
      <c r="CK5" s="9">
        <v>0.17499999962747001</v>
      </c>
      <c r="CL5" s="9">
        <v>7.9999999701976701E-2</v>
      </c>
      <c r="CM5" s="9">
        <v>0.115000000037252</v>
      </c>
    </row>
    <row r="6" spans="2:91" ht="16.5" thickTop="1" thickBot="1">
      <c r="B6" s="9">
        <v>0.48500000033527602</v>
      </c>
      <c r="C6" s="9">
        <v>0.58500000033527599</v>
      </c>
      <c r="D6" s="9">
        <v>0.71500000003725295</v>
      </c>
      <c r="E6" s="9">
        <v>1.0000000001862599</v>
      </c>
      <c r="F6" s="9">
        <v>0.55000000000000004</v>
      </c>
      <c r="G6" s="9">
        <v>0.79499999992549397</v>
      </c>
      <c r="H6" s="11">
        <v>22.8299999999813</v>
      </c>
      <c r="I6" s="11">
        <v>21.800000000186198</v>
      </c>
      <c r="J6" s="11">
        <v>33.984999999962703</v>
      </c>
      <c r="K6" s="11">
        <v>43.379999999795103</v>
      </c>
      <c r="L6" s="11">
        <v>10.4999999999068</v>
      </c>
      <c r="M6" s="11">
        <v>21.704999999795099</v>
      </c>
      <c r="N6" s="9">
        <v>1.50000000372529E-2</v>
      </c>
      <c r="O6" s="9">
        <v>9.9999999627470894E-3</v>
      </c>
      <c r="P6" s="9">
        <v>1.50000002235174E-2</v>
      </c>
      <c r="Q6" s="9">
        <v>1.50000000372529E-2</v>
      </c>
      <c r="R6" s="9">
        <v>4.9999998882412902E-3</v>
      </c>
      <c r="S6" s="9">
        <v>4.9999998882412902E-3</v>
      </c>
      <c r="T6" s="11">
        <v>8.0650000000372497</v>
      </c>
      <c r="U6" s="11">
        <v>5.9100000003352697</v>
      </c>
      <c r="V6" s="11">
        <v>3.0300000006332901</v>
      </c>
      <c r="W6" s="11">
        <v>2.9250000001862602</v>
      </c>
      <c r="X6" s="11">
        <v>9.6500000003725201</v>
      </c>
      <c r="Y6" s="11">
        <v>2.8599999999627399</v>
      </c>
      <c r="Z6" s="9">
        <v>589.06999999983202</v>
      </c>
      <c r="AA6" s="9">
        <v>320.20999999996201</v>
      </c>
      <c r="AB6" s="9">
        <v>58.2</v>
      </c>
      <c r="AC6" s="9">
        <v>61.520000000018598</v>
      </c>
      <c r="AD6" s="9">
        <v>559.654999999702</v>
      </c>
      <c r="AE6" s="9">
        <v>51.276860881564453</v>
      </c>
      <c r="AF6" s="11">
        <v>0.695000000298023</v>
      </c>
      <c r="AG6" s="11">
        <v>0.374999999813735</v>
      </c>
      <c r="AH6" s="11">
        <v>0.159999999962747</v>
      </c>
      <c r="AI6" s="11">
        <v>0.12000000048428699</v>
      </c>
      <c r="AJ6" s="11">
        <v>0.73000000007450505</v>
      </c>
      <c r="AK6" s="11">
        <v>0.169999999925494</v>
      </c>
      <c r="AL6" s="9">
        <v>6.3400000005960404</v>
      </c>
      <c r="AM6" s="9">
        <v>6.7800000008195598</v>
      </c>
      <c r="AN6" s="9">
        <v>7.3949999995529598</v>
      </c>
      <c r="AO6" s="9">
        <v>8.4800000000745008</v>
      </c>
      <c r="AP6" s="9">
        <v>5.0799999993294396</v>
      </c>
      <c r="AQ6" s="9">
        <v>6.7099999997764801</v>
      </c>
      <c r="AR6" s="11">
        <v>65.484999999776406</v>
      </c>
      <c r="AS6" s="11">
        <v>69.314999998733398</v>
      </c>
      <c r="AT6" s="11">
        <v>58.545000001043</v>
      </c>
      <c r="AU6" s="11">
        <v>65.3499999996274</v>
      </c>
      <c r="AV6" s="11">
        <v>51.559999999031398</v>
      </c>
      <c r="AW6" s="11">
        <v>58.149999999254902</v>
      </c>
      <c r="AX6" s="9">
        <v>4.7700000002048899</v>
      </c>
      <c r="AY6" s="9">
        <v>4.6800000000745001</v>
      </c>
      <c r="AZ6" s="9">
        <v>5.5650000000372497</v>
      </c>
      <c r="BA6" s="9">
        <v>6.1449999999720601</v>
      </c>
      <c r="BB6" s="9">
        <v>3.6700000001117501</v>
      </c>
      <c r="BC6" s="9">
        <v>4.8749999999068603</v>
      </c>
      <c r="BD6" s="11">
        <v>1.27499999993015</v>
      </c>
      <c r="BE6" s="11">
        <v>1.2950000001117501</v>
      </c>
      <c r="BF6" s="11">
        <v>1.5999999999883501</v>
      </c>
      <c r="BG6" s="11">
        <v>2.0450000000011599</v>
      </c>
      <c r="BH6" s="11">
        <v>0.79499999999534299</v>
      </c>
      <c r="BI6" s="11">
        <v>1.2850000000209501</v>
      </c>
      <c r="BJ6" s="9">
        <v>33.225000000744998</v>
      </c>
      <c r="BK6" s="9">
        <v>34.675000000372499</v>
      </c>
      <c r="BL6" s="9">
        <v>45.610000000149</v>
      </c>
      <c r="BM6" s="9">
        <v>0.54000000022351702</v>
      </c>
      <c r="BN6" s="9">
        <v>17.605000000446999</v>
      </c>
      <c r="BO6" s="9">
        <v>0.359999999776482</v>
      </c>
      <c r="BP6" s="11">
        <v>0.33499999996274699</v>
      </c>
      <c r="BQ6" s="11">
        <v>0.32499999995343298</v>
      </c>
      <c r="BR6" s="11">
        <v>0.38999999989755402</v>
      </c>
      <c r="BS6" s="11">
        <v>0.51499999999068602</v>
      </c>
      <c r="BT6" s="11">
        <v>0.19999999995343301</v>
      </c>
      <c r="BU6" s="11">
        <v>0.32500000000000001</v>
      </c>
      <c r="BV6" s="9">
        <v>1.8300000002607699</v>
      </c>
      <c r="BW6" s="9">
        <v>2.0249999996274699</v>
      </c>
      <c r="BX6" s="9">
        <v>1.95499999970197</v>
      </c>
      <c r="BY6" s="9">
        <v>2.70499999970197</v>
      </c>
      <c r="BZ6" s="9">
        <v>1.1849999995902101</v>
      </c>
      <c r="CA6" s="9">
        <v>2.0750000000000002</v>
      </c>
      <c r="CB6" s="11">
        <v>33.044999999832299</v>
      </c>
      <c r="CC6" s="11">
        <v>34.160000000148997</v>
      </c>
      <c r="CD6" s="11">
        <v>47.579999999608802</v>
      </c>
      <c r="CE6" s="11">
        <v>62.935000000242098</v>
      </c>
      <c r="CF6" s="11">
        <v>17.214999999944101</v>
      </c>
      <c r="CG6" s="11">
        <v>35.615000000223503</v>
      </c>
      <c r="CH6" s="9">
        <v>9.4999999739229596E-2</v>
      </c>
      <c r="CI6" s="9">
        <v>0.110000000335276</v>
      </c>
      <c r="CJ6" s="9">
        <v>0.13000000026076999</v>
      </c>
      <c r="CK6" s="9">
        <v>0.27999999988824098</v>
      </c>
      <c r="CL6" s="9">
        <v>2.9999999888241199E-2</v>
      </c>
      <c r="CM6" s="9">
        <v>0.19499999973922899</v>
      </c>
    </row>
    <row r="7" spans="2:91" ht="16.5" thickTop="1" thickBot="1">
      <c r="B7" s="9">
        <v>0.56499999947845903</v>
      </c>
      <c r="C7" s="9">
        <v>0.36499999985098802</v>
      </c>
      <c r="D7" s="9">
        <v>0.875</v>
      </c>
      <c r="E7" s="9">
        <v>1.1750000001862599</v>
      </c>
      <c r="F7" s="9">
        <v>0.51999999955296505</v>
      </c>
      <c r="G7" s="9">
        <v>0.71999999955296501</v>
      </c>
      <c r="H7" s="11">
        <v>21.5700000002048</v>
      </c>
      <c r="I7" s="11">
        <v>21.7600000000558</v>
      </c>
      <c r="J7" s="11">
        <v>33.674999999906802</v>
      </c>
      <c r="K7" s="11">
        <v>42.180000000167603</v>
      </c>
      <c r="L7" s="11">
        <v>11.3399999996647</v>
      </c>
      <c r="M7" s="11">
        <v>22.474999999813701</v>
      </c>
      <c r="N7" s="9">
        <v>9.9999999627470894E-3</v>
      </c>
      <c r="O7" s="9">
        <v>9.9999999627470894E-3</v>
      </c>
      <c r="P7" s="9">
        <v>4.9999998882412902E-3</v>
      </c>
      <c r="Q7" s="9">
        <v>1.50000000372529E-2</v>
      </c>
      <c r="R7" s="9">
        <v>1.50000002235174E-2</v>
      </c>
      <c r="S7" s="9">
        <v>5.0000000745058001E-3</v>
      </c>
      <c r="T7" s="11">
        <v>8.8900000002235107</v>
      </c>
      <c r="U7" s="11">
        <v>6.3899999998509802</v>
      </c>
      <c r="V7" s="11">
        <v>2.9350000001490102</v>
      </c>
      <c r="W7" s="11">
        <v>2.5249999999999999</v>
      </c>
      <c r="X7" s="11">
        <v>10.489999999105899</v>
      </c>
      <c r="Y7" s="11">
        <v>2.35</v>
      </c>
      <c r="Z7" s="9">
        <v>582.125000000093</v>
      </c>
      <c r="AA7" s="9">
        <v>319.409999999962</v>
      </c>
      <c r="AB7" s="9">
        <v>58.979999999795098</v>
      </c>
      <c r="AC7" s="9">
        <v>60.820000000391097</v>
      </c>
      <c r="AD7" s="9">
        <v>573.68499999996197</v>
      </c>
      <c r="AE7" s="9">
        <v>31.072440462978228</v>
      </c>
      <c r="AF7" s="11">
        <v>0.75500000026076997</v>
      </c>
      <c r="AG7" s="11">
        <v>0.36500000078231098</v>
      </c>
      <c r="AH7" s="11">
        <v>0.144999999552965</v>
      </c>
      <c r="AI7" s="11">
        <v>0.31999999992549399</v>
      </c>
      <c r="AJ7" s="11">
        <v>0.69499999955296499</v>
      </c>
      <c r="AK7" s="11">
        <v>0.17500000018626399</v>
      </c>
      <c r="AL7" s="9">
        <v>6.3699999995529604</v>
      </c>
      <c r="AM7" s="9">
        <v>6.4199999991804297</v>
      </c>
      <c r="AN7" s="9">
        <v>7.2999999996274703</v>
      </c>
      <c r="AO7" s="9">
        <v>8.6449999988079007</v>
      </c>
      <c r="AP7" s="9">
        <v>5.06499999985098</v>
      </c>
      <c r="AQ7" s="9">
        <v>6.8249999996274697</v>
      </c>
      <c r="AR7" s="11">
        <v>64.95</v>
      </c>
      <c r="AS7" s="11">
        <v>69.689999999850897</v>
      </c>
      <c r="AT7" s="11">
        <v>59.384999999776397</v>
      </c>
      <c r="AU7" s="11">
        <v>65.45</v>
      </c>
      <c r="AV7" s="11">
        <v>51.065000000968503</v>
      </c>
      <c r="AW7" s="11">
        <v>58.480000000819501</v>
      </c>
      <c r="AX7" s="9">
        <v>4.7700000001117502</v>
      </c>
      <c r="AY7" s="9">
        <v>4.6650000001303802</v>
      </c>
      <c r="AZ7" s="9">
        <v>5.4949999999254899</v>
      </c>
      <c r="BA7" s="9">
        <v>6.3050000000745001</v>
      </c>
      <c r="BB7" s="9">
        <v>3.73999999994412</v>
      </c>
      <c r="BC7" s="9">
        <v>4.7449999999254899</v>
      </c>
      <c r="BD7" s="11">
        <v>1.2999999999301499</v>
      </c>
      <c r="BE7" s="11">
        <v>1.38000000000465</v>
      </c>
      <c r="BF7" s="11">
        <v>1.6849999999976699</v>
      </c>
      <c r="BG7" s="11">
        <v>2.0299999999871901</v>
      </c>
      <c r="BH7" s="11">
        <v>0.79500000000698401</v>
      </c>
      <c r="BI7" s="11">
        <v>1.23500000000931</v>
      </c>
      <c r="BJ7" s="9">
        <v>33.380000000074503</v>
      </c>
      <c r="BK7" s="9">
        <v>34.545000000670498</v>
      </c>
      <c r="BL7" s="9">
        <v>48.179999998956902</v>
      </c>
      <c r="BM7" s="9">
        <v>0.53499999903142403</v>
      </c>
      <c r="BN7" s="9">
        <v>17.630000000447001</v>
      </c>
      <c r="BO7" s="9">
        <v>0.35499999970197599</v>
      </c>
      <c r="BP7" s="11">
        <v>0.33500000000931301</v>
      </c>
      <c r="BQ7" s="11">
        <v>0.35499999988824099</v>
      </c>
      <c r="BR7" s="11">
        <v>0.420000000065192</v>
      </c>
      <c r="BS7" s="11">
        <v>0.48499999996274701</v>
      </c>
      <c r="BT7" s="11">
        <v>0.19499999987892799</v>
      </c>
      <c r="BU7" s="11">
        <v>0.33500000005587899</v>
      </c>
      <c r="BV7" s="9">
        <v>1.8049999997019699</v>
      </c>
      <c r="BW7" s="9">
        <v>1.52000000048428</v>
      </c>
      <c r="BX7" s="9">
        <v>2.1250000003725198</v>
      </c>
      <c r="BY7" s="9">
        <v>3.00499999988824</v>
      </c>
      <c r="BZ7" s="9">
        <v>1.31000000014901</v>
      </c>
      <c r="CA7" s="9">
        <v>1.8749999998137299</v>
      </c>
      <c r="CB7" s="11">
        <v>33.190000000037202</v>
      </c>
      <c r="CC7" s="11">
        <v>34.3499999999068</v>
      </c>
      <c r="CD7" s="11">
        <v>47.239999999664697</v>
      </c>
      <c r="CE7" s="11">
        <v>62.054999999701899</v>
      </c>
      <c r="CF7" s="11">
        <v>17.129999999701901</v>
      </c>
      <c r="CG7" s="11">
        <v>37.760000000242101</v>
      </c>
      <c r="CH7" s="9">
        <v>0.13499999940395299</v>
      </c>
      <c r="CI7" s="9">
        <v>0.13500000014901101</v>
      </c>
      <c r="CJ7" s="9">
        <v>0.16500000022351699</v>
      </c>
      <c r="CK7" s="9">
        <v>0.15999999959021799</v>
      </c>
      <c r="CL7" s="9">
        <v>8.5000000335276105E-2</v>
      </c>
      <c r="CM7" s="9">
        <v>9.5000000484287694E-2</v>
      </c>
    </row>
    <row r="8" spans="2:91" ht="16.5" thickTop="1" thickBot="1">
      <c r="B8" s="9">
        <v>0.72500000055879299</v>
      </c>
      <c r="C8" s="9">
        <v>0.640000000409781</v>
      </c>
      <c r="D8" s="9">
        <v>0.83500000014901099</v>
      </c>
      <c r="E8" s="9">
        <v>1.12000000011175</v>
      </c>
      <c r="F8" s="9">
        <v>0.50500000063329897</v>
      </c>
      <c r="G8" s="9">
        <v>0.36500000003725203</v>
      </c>
      <c r="H8" s="11">
        <v>22.005000000074499</v>
      </c>
      <c r="I8" s="11">
        <v>22.104999999981299</v>
      </c>
      <c r="J8" s="11">
        <v>32.530000000167597</v>
      </c>
      <c r="K8" s="11">
        <v>42.0649999996647</v>
      </c>
      <c r="L8" s="11">
        <v>10.1750000000931</v>
      </c>
      <c r="M8" s="11">
        <v>23.0100000000558</v>
      </c>
      <c r="N8" s="9">
        <v>5.0000000745058001E-3</v>
      </c>
      <c r="O8" s="9">
        <v>4.9999998882412902E-3</v>
      </c>
      <c r="P8" s="9">
        <v>4.9999998882412902E-3</v>
      </c>
      <c r="Q8" s="9">
        <v>1.00000001490116E-2</v>
      </c>
      <c r="R8" s="9">
        <v>1.50000000372529E-2</v>
      </c>
      <c r="S8" s="9">
        <v>9.9999997764825804E-3</v>
      </c>
      <c r="T8" s="11">
        <v>9.1049999993294399</v>
      </c>
      <c r="U8" s="11">
        <v>6.09999999981373</v>
      </c>
      <c r="V8" s="11">
        <v>3.6999999994412001</v>
      </c>
      <c r="W8" s="11">
        <v>2.5549999998882398</v>
      </c>
      <c r="X8" s="11">
        <v>8.5650000002235096</v>
      </c>
      <c r="Y8" s="11">
        <v>2.4000000003725201</v>
      </c>
      <c r="Z8" s="9">
        <v>587.61500000031594</v>
      </c>
      <c r="AA8" s="9">
        <v>316.10000000018601</v>
      </c>
      <c r="AB8" s="9">
        <v>59.124999999906798</v>
      </c>
      <c r="AC8" s="9">
        <v>60.295000000111699</v>
      </c>
      <c r="AD8" s="9">
        <v>595.62000000011096</v>
      </c>
      <c r="AE8" s="9">
        <v>53.088212915563361</v>
      </c>
      <c r="AF8" s="11">
        <v>0.56000000070780498</v>
      </c>
      <c r="AG8" s="11">
        <v>0.39500000011175801</v>
      </c>
      <c r="AH8" s="11">
        <v>0.220000000298023</v>
      </c>
      <c r="AI8" s="11">
        <v>0.16500000040978099</v>
      </c>
      <c r="AJ8" s="11">
        <v>0.45499999988824102</v>
      </c>
      <c r="AK8" s="11">
        <v>0.18500000070780501</v>
      </c>
      <c r="AL8" s="9">
        <v>6.3500000007450499</v>
      </c>
      <c r="AM8" s="9">
        <v>6.4400000002235096</v>
      </c>
      <c r="AN8" s="9">
        <v>7.4299999997019697</v>
      </c>
      <c r="AO8" s="9">
        <v>8.3050000004470306</v>
      </c>
      <c r="AP8" s="9">
        <v>5.0600000001490102</v>
      </c>
      <c r="AQ8" s="9">
        <v>6.7</v>
      </c>
      <c r="AR8" s="11">
        <v>64.919999998435301</v>
      </c>
      <c r="AS8" s="11">
        <v>69.240000000223503</v>
      </c>
      <c r="AT8" s="11">
        <v>60.3</v>
      </c>
      <c r="AU8" s="11">
        <v>65.270000000297998</v>
      </c>
      <c r="AV8" s="11">
        <v>50.835000000149002</v>
      </c>
      <c r="AW8" s="11">
        <v>58.464999999850903</v>
      </c>
      <c r="AX8" s="9">
        <v>4.7100000003352704</v>
      </c>
      <c r="AY8" s="9">
        <v>4.7300000000744999</v>
      </c>
      <c r="AZ8" s="9">
        <v>5.43999999985098</v>
      </c>
      <c r="BA8" s="9">
        <v>6.19499999997206</v>
      </c>
      <c r="BB8" s="9">
        <v>3.63000000026077</v>
      </c>
      <c r="BC8" s="9">
        <v>4.8050000000745001</v>
      </c>
      <c r="BD8" s="11">
        <v>1.2600000001024401</v>
      </c>
      <c r="BE8" s="11">
        <v>1.2899999999906799</v>
      </c>
      <c r="BF8" s="11">
        <v>1.89500000003026</v>
      </c>
      <c r="BG8" s="11">
        <v>2.0299999999988301</v>
      </c>
      <c r="BH8" s="11">
        <v>0.87500000001164102</v>
      </c>
      <c r="BI8" s="11">
        <v>1.3249999999883499</v>
      </c>
      <c r="BJ8" s="9">
        <v>33.504999998211801</v>
      </c>
      <c r="BK8" s="9">
        <v>34.785000000148997</v>
      </c>
      <c r="BL8" s="9">
        <v>46.1300000008195</v>
      </c>
      <c r="BM8" s="9">
        <v>0.51000000014901103</v>
      </c>
      <c r="BN8" s="9">
        <v>18.114999999850902</v>
      </c>
      <c r="BO8" s="9">
        <v>0.36999999955296498</v>
      </c>
      <c r="BP8" s="11">
        <v>0.36500000003725203</v>
      </c>
      <c r="BQ8" s="11">
        <v>0.33999999994412</v>
      </c>
      <c r="BR8" s="11">
        <v>0.41500000013038502</v>
      </c>
      <c r="BS8" s="11">
        <v>0.490000000083819</v>
      </c>
      <c r="BT8" s="11">
        <v>0.214999999990686</v>
      </c>
      <c r="BU8" s="11">
        <v>0.31999999992549399</v>
      </c>
      <c r="BV8" s="9">
        <v>2.0249999996274699</v>
      </c>
      <c r="BW8" s="9">
        <v>1.8299999998882399</v>
      </c>
      <c r="BX8" s="9">
        <v>1.6499999996274699</v>
      </c>
      <c r="BY8" s="9">
        <v>2.9750000003725199</v>
      </c>
      <c r="BZ8" s="9">
        <v>1.0999999996274701</v>
      </c>
      <c r="CA8" s="9">
        <v>1.5799999995157099</v>
      </c>
      <c r="CB8" s="11">
        <v>34.365000000130301</v>
      </c>
      <c r="CC8" s="11">
        <v>35.315000000223499</v>
      </c>
      <c r="CD8" s="11">
        <v>47.160000000148997</v>
      </c>
      <c r="CE8" s="11">
        <v>63.585000000335199</v>
      </c>
      <c r="CF8" s="11">
        <v>17.855000000074501</v>
      </c>
      <c r="CG8" s="11">
        <v>36.169999999646002</v>
      </c>
      <c r="CH8" s="9">
        <v>0.105000000074505</v>
      </c>
      <c r="CI8" s="9">
        <v>0.12999999951571201</v>
      </c>
      <c r="CJ8" s="9">
        <v>0.13999999966472301</v>
      </c>
      <c r="CK8" s="9">
        <v>0.110000000335276</v>
      </c>
      <c r="CL8" s="9">
        <v>9.0000000037252906E-2</v>
      </c>
      <c r="CM8" s="9">
        <v>0.10999999996274699</v>
      </c>
    </row>
    <row r="9" spans="2:91" ht="16.5" thickTop="1" thickBot="1">
      <c r="B9" s="9">
        <v>0.59500000011175802</v>
      </c>
      <c r="C9" s="9">
        <v>0.79000000003725201</v>
      </c>
      <c r="D9" s="9">
        <v>0.90499999970197598</v>
      </c>
      <c r="E9" s="9">
        <v>0.90500000026076999</v>
      </c>
      <c r="F9" s="9">
        <v>0.39499999992549401</v>
      </c>
      <c r="G9" s="9">
        <v>0.70999999996274699</v>
      </c>
      <c r="H9" s="11">
        <v>21.959999999962701</v>
      </c>
      <c r="I9" s="11">
        <v>21.780000000260699</v>
      </c>
      <c r="J9" s="11">
        <v>32.760000000055797</v>
      </c>
      <c r="K9" s="11">
        <v>43.929999999981298</v>
      </c>
      <c r="L9" s="11">
        <v>10.6000000003725</v>
      </c>
      <c r="M9" s="11">
        <v>22.6399999998509</v>
      </c>
      <c r="N9" s="9">
        <v>9.9999999627470894E-3</v>
      </c>
      <c r="O9" s="9">
        <v>1.00000001490116E-2</v>
      </c>
      <c r="P9" s="9">
        <v>1.9999999925494099E-2</v>
      </c>
      <c r="Q9" s="9">
        <v>9.9999999627470894E-3</v>
      </c>
      <c r="R9" s="9">
        <v>1.00000001490116E-2</v>
      </c>
      <c r="S9" s="9">
        <v>1.50000000372529E-2</v>
      </c>
      <c r="T9" s="11">
        <v>8.8999999998137298</v>
      </c>
      <c r="U9" s="11">
        <v>6.0099999997764799</v>
      </c>
      <c r="V9" s="11">
        <v>2.8249999998137301</v>
      </c>
      <c r="W9" s="11">
        <v>2.8550000002607701</v>
      </c>
      <c r="X9" s="11">
        <v>9.9350000003352701</v>
      </c>
      <c r="Y9" s="11">
        <v>2.7600000003352698</v>
      </c>
      <c r="Z9" s="9">
        <v>588.42000000048404</v>
      </c>
      <c r="AA9" s="9">
        <v>318.43500000033498</v>
      </c>
      <c r="AB9" s="9">
        <v>63.154999999608798</v>
      </c>
      <c r="AC9" s="9">
        <v>62.519999999925403</v>
      </c>
      <c r="AD9" s="9">
        <v>570.86000000042804</v>
      </c>
      <c r="AE9" s="9">
        <v>62.007002609849003</v>
      </c>
      <c r="AF9" s="11">
        <v>0.63000000026076997</v>
      </c>
      <c r="AG9" s="11">
        <v>0.414999999292194</v>
      </c>
      <c r="AH9" s="11">
        <v>0.15999999940395301</v>
      </c>
      <c r="AI9" s="11">
        <v>0.124999999813735</v>
      </c>
      <c r="AJ9" s="11">
        <v>0.59000000078231096</v>
      </c>
      <c r="AK9" s="11">
        <v>0.23499999996274701</v>
      </c>
      <c r="AL9" s="9">
        <v>6.3900000002235098</v>
      </c>
      <c r="AM9" s="9">
        <v>6.4900000009685703</v>
      </c>
      <c r="AN9" s="9">
        <v>7.2800000008195598</v>
      </c>
      <c r="AO9" s="9">
        <v>9.5050000011920908</v>
      </c>
      <c r="AP9" s="9">
        <v>4.9950000002980204</v>
      </c>
      <c r="AQ9" s="9">
        <v>6.6300000004470299</v>
      </c>
      <c r="AR9" s="11">
        <v>65.464999999478394</v>
      </c>
      <c r="AS9" s="11">
        <v>69.174999999999997</v>
      </c>
      <c r="AT9" s="11">
        <v>59.375</v>
      </c>
      <c r="AU9" s="11">
        <v>65.690000000223506</v>
      </c>
      <c r="AV9" s="11">
        <v>52.205000000074499</v>
      </c>
      <c r="AW9" s="11">
        <v>58.1</v>
      </c>
      <c r="AX9" s="9">
        <v>4.7300000001676299</v>
      </c>
      <c r="AY9" s="9">
        <v>4.6800000000745001</v>
      </c>
      <c r="AZ9" s="9">
        <v>5.5450000002048903</v>
      </c>
      <c r="BA9" s="9">
        <v>6.1699999999254898</v>
      </c>
      <c r="BB9" s="9">
        <v>3.7000000000931301</v>
      </c>
      <c r="BC9" s="9">
        <v>4.7549999996088399</v>
      </c>
      <c r="BD9" s="11">
        <v>1.2800000000745</v>
      </c>
      <c r="BE9" s="11">
        <v>1.3549999999347999</v>
      </c>
      <c r="BF9" s="11">
        <v>1.76500000000232</v>
      </c>
      <c r="BG9" s="11">
        <v>2.01499999999068</v>
      </c>
      <c r="BH9" s="11">
        <v>0.84499999998370101</v>
      </c>
      <c r="BI9" s="11">
        <v>1.30499999999301</v>
      </c>
      <c r="BJ9" s="9">
        <v>33.280000000074502</v>
      </c>
      <c r="BK9" s="9">
        <v>35.120000000297999</v>
      </c>
      <c r="BL9" s="9">
        <v>46.229999999701903</v>
      </c>
      <c r="BM9" s="9">
        <v>0.52499999962747101</v>
      </c>
      <c r="BN9" s="9">
        <v>18.9199999995529</v>
      </c>
      <c r="BO9" s="9">
        <v>0.36000000052154002</v>
      </c>
      <c r="BP9" s="11">
        <v>0.34000000008381898</v>
      </c>
      <c r="BQ9" s="11">
        <v>0.31999999987892802</v>
      </c>
      <c r="BR9" s="11">
        <v>0.39499999978579498</v>
      </c>
      <c r="BS9" s="11">
        <v>0.48000000002793902</v>
      </c>
      <c r="BT9" s="11">
        <v>0.21000000000931299</v>
      </c>
      <c r="BU9" s="11">
        <v>0.33500000010244502</v>
      </c>
      <c r="BV9" s="9">
        <v>1.4449999995529601</v>
      </c>
      <c r="BW9" s="9">
        <v>2.0200000002980198</v>
      </c>
      <c r="BX9" s="9">
        <v>2.4249999998137302</v>
      </c>
      <c r="BY9" s="9">
        <v>3.2349999999627399</v>
      </c>
      <c r="BZ9" s="9">
        <v>1.0799999998882399</v>
      </c>
      <c r="CA9" s="9">
        <v>1.8700000002980199</v>
      </c>
      <c r="CB9" s="11">
        <v>34.3400000003166</v>
      </c>
      <c r="CC9" s="11">
        <v>34.399999999813701</v>
      </c>
      <c r="CD9" s="11">
        <v>47.395000000018598</v>
      </c>
      <c r="CE9" s="11">
        <v>63.0699999999254</v>
      </c>
      <c r="CF9" s="11">
        <v>17.935000000335201</v>
      </c>
      <c r="CG9" s="11">
        <v>34.8550000001676</v>
      </c>
      <c r="CH9" s="9">
        <v>0.16999999955296499</v>
      </c>
      <c r="CI9" s="9">
        <v>0.140000000223517</v>
      </c>
      <c r="CJ9" s="9">
        <v>0.159999999962747</v>
      </c>
      <c r="CK9" s="9">
        <v>0.140000000409781</v>
      </c>
      <c r="CL9" s="9">
        <v>8.4999999776482496E-2</v>
      </c>
      <c r="CM9" s="9">
        <v>9.4999999552965106E-2</v>
      </c>
    </row>
    <row r="10" spans="2:91" ht="16.5" thickTop="1" thickBot="1">
      <c r="B10" s="9">
        <v>0.60999999996274701</v>
      </c>
      <c r="C10" s="9">
        <v>0.554999999888241</v>
      </c>
      <c r="D10" s="9">
        <v>0.78499999940395304</v>
      </c>
      <c r="E10" s="9">
        <v>1.00000000037252</v>
      </c>
      <c r="F10" s="9">
        <v>0.38999999966472298</v>
      </c>
      <c r="G10" s="9">
        <v>0.78499999959021804</v>
      </c>
      <c r="H10" s="11">
        <v>21.234999999962699</v>
      </c>
      <c r="I10" s="11">
        <v>22.15</v>
      </c>
      <c r="J10" s="11">
        <v>33.7649999998509</v>
      </c>
      <c r="K10" s="11">
        <v>42.074999999813699</v>
      </c>
      <c r="L10" s="11">
        <v>10.1650000000372</v>
      </c>
      <c r="M10" s="11">
        <v>22.940000000037202</v>
      </c>
      <c r="N10" s="9">
        <v>2.00000001117587E-2</v>
      </c>
      <c r="O10" s="9">
        <v>9.9999999627470894E-3</v>
      </c>
      <c r="P10" s="9">
        <v>4.9999998882412902E-3</v>
      </c>
      <c r="Q10" s="9">
        <v>1.00000001490116E-2</v>
      </c>
      <c r="R10" s="9">
        <v>5.0000000745058001E-3</v>
      </c>
      <c r="S10" s="9">
        <v>5.0000000745058001E-3</v>
      </c>
      <c r="T10" s="11">
        <v>8.1899999998509792</v>
      </c>
      <c r="U10" s="11">
        <v>6.6250000001862599</v>
      </c>
      <c r="V10" s="11">
        <v>2.4900000002235099</v>
      </c>
      <c r="W10" s="11">
        <v>2.5649999996647201</v>
      </c>
      <c r="X10" s="11">
        <v>8.33499999996274</v>
      </c>
      <c r="Y10" s="11">
        <v>2.2700000002980198</v>
      </c>
      <c r="Z10" s="9">
        <v>576.89999999990596</v>
      </c>
      <c r="AA10" s="9">
        <v>315.90499999988799</v>
      </c>
      <c r="AB10" s="9">
        <v>60.204999999701897</v>
      </c>
      <c r="AC10" s="9">
        <v>62.960000000149002</v>
      </c>
      <c r="AD10" s="9">
        <v>582.67499999999995</v>
      </c>
      <c r="AE10" s="9">
        <v>52.228714683814943</v>
      </c>
      <c r="AF10" s="11">
        <v>0.57499999999999996</v>
      </c>
      <c r="AG10" s="11">
        <v>0.48999999947845901</v>
      </c>
      <c r="AH10" s="11">
        <v>0.27499999981373502</v>
      </c>
      <c r="AI10" s="11">
        <v>9.5000000298023204E-2</v>
      </c>
      <c r="AJ10" s="11">
        <v>0.73499999996274701</v>
      </c>
      <c r="AK10" s="11">
        <v>0.15500000026076999</v>
      </c>
      <c r="AL10" s="9">
        <v>6.32999999895691</v>
      </c>
      <c r="AM10" s="9">
        <v>6.4</v>
      </c>
      <c r="AN10" s="9">
        <v>7.2749999988824099</v>
      </c>
      <c r="AO10" s="9">
        <v>8.4550000004470292</v>
      </c>
      <c r="AP10" s="9">
        <v>5.1200000002980204</v>
      </c>
      <c r="AQ10" s="9">
        <v>6.5549999989569097</v>
      </c>
      <c r="AR10" s="11">
        <v>65.389999999478405</v>
      </c>
      <c r="AS10" s="11">
        <v>69.245000001042996</v>
      </c>
      <c r="AT10" s="11">
        <v>59.764999999478398</v>
      </c>
      <c r="AU10" s="11">
        <v>65.364999999850994</v>
      </c>
      <c r="AV10" s="11">
        <v>50.065000000968503</v>
      </c>
      <c r="AW10" s="11">
        <v>58.315000000223499</v>
      </c>
      <c r="AX10" s="9">
        <v>4.6850000001490102</v>
      </c>
      <c r="AY10" s="9">
        <v>4.6349999998696099</v>
      </c>
      <c r="AZ10" s="9">
        <v>5.43999999985098</v>
      </c>
      <c r="BA10" s="9">
        <v>6.2599999999627398</v>
      </c>
      <c r="BB10" s="9">
        <v>3.6800000000745001</v>
      </c>
      <c r="BC10" s="9">
        <v>4.7950000000186197</v>
      </c>
      <c r="BD10" s="11">
        <v>1.2800000000745</v>
      </c>
      <c r="BE10" s="11">
        <v>1.34999999993015</v>
      </c>
      <c r="BF10" s="11">
        <v>1.7950000000419</v>
      </c>
      <c r="BG10" s="11">
        <v>2.0099999999918499</v>
      </c>
      <c r="BH10" s="11">
        <v>0.840000000002328</v>
      </c>
      <c r="BI10" s="11">
        <v>1.28499999999767</v>
      </c>
      <c r="BJ10" s="9">
        <v>33.714999999105899</v>
      </c>
      <c r="BK10" s="9">
        <v>34.979999999701903</v>
      </c>
      <c r="BL10" s="9">
        <v>50.560000000894</v>
      </c>
      <c r="BM10" s="9">
        <v>0.52499999925494101</v>
      </c>
      <c r="BN10" s="9">
        <v>17.710000000893999</v>
      </c>
      <c r="BO10" s="9">
        <v>0.355000000447034</v>
      </c>
      <c r="BP10" s="11">
        <v>0.34499999992549402</v>
      </c>
      <c r="BQ10" s="11">
        <v>0.30999999986961402</v>
      </c>
      <c r="BR10" s="11">
        <v>0.38000000012107099</v>
      </c>
      <c r="BS10" s="11">
        <v>0.48500000014901101</v>
      </c>
      <c r="BT10" s="11">
        <v>0.2</v>
      </c>
      <c r="BU10" s="11">
        <v>0.340000000037252</v>
      </c>
      <c r="BV10" s="9">
        <v>1.6849999999627401</v>
      </c>
      <c r="BW10" s="9">
        <v>1.9150000002235099</v>
      </c>
      <c r="BX10" s="9">
        <v>1.98499999940395</v>
      </c>
      <c r="BY10" s="9">
        <v>3.06499999947845</v>
      </c>
      <c r="BZ10" s="9">
        <v>0.905000000633299</v>
      </c>
      <c r="CA10" s="9">
        <v>1.60500000044703</v>
      </c>
      <c r="CB10" s="11">
        <v>34.030000000260699</v>
      </c>
      <c r="CC10" s="11">
        <v>34.285000000055803</v>
      </c>
      <c r="CD10" s="11">
        <v>47.260000000055797</v>
      </c>
      <c r="CE10" s="11">
        <v>64.415000000037196</v>
      </c>
      <c r="CF10" s="11">
        <v>17.835000000335199</v>
      </c>
      <c r="CG10" s="11">
        <v>34.7299999998882</v>
      </c>
      <c r="CH10" s="9">
        <v>0.154999999515712</v>
      </c>
      <c r="CI10" s="9">
        <v>0.110000000335276</v>
      </c>
      <c r="CJ10" s="9">
        <v>0.179999999888241</v>
      </c>
      <c r="CK10" s="9">
        <v>0.18499999977648199</v>
      </c>
      <c r="CL10" s="9">
        <v>9.0000000223517396E-2</v>
      </c>
      <c r="CM10" s="9">
        <v>0.16500000022351699</v>
      </c>
    </row>
    <row r="11" spans="2:91" ht="16.5" thickTop="1" thickBot="1">
      <c r="B11" s="9">
        <v>0.82500000018626396</v>
      </c>
      <c r="C11" s="9">
        <v>0.74500000048428705</v>
      </c>
      <c r="D11" s="9">
        <v>0.59000000022351695</v>
      </c>
      <c r="E11" s="9">
        <v>1.0449999997392201</v>
      </c>
      <c r="F11" s="9">
        <v>0.45</v>
      </c>
      <c r="G11" s="9">
        <v>0.69499999973922899</v>
      </c>
      <c r="H11" s="11">
        <v>22.089999999664698</v>
      </c>
      <c r="I11" s="11">
        <v>21.824999999906801</v>
      </c>
      <c r="J11" s="11">
        <v>33.290000000037203</v>
      </c>
      <c r="K11" s="11">
        <v>43.860000000055798</v>
      </c>
      <c r="L11" s="11">
        <v>9.9749999999068599</v>
      </c>
      <c r="M11" s="11">
        <v>21.749999999906802</v>
      </c>
      <c r="N11" s="9">
        <v>1.50000000372529E-2</v>
      </c>
      <c r="O11" s="9">
        <v>5.0000000745058001E-3</v>
      </c>
      <c r="P11" s="9">
        <v>9.9999999627470894E-3</v>
      </c>
      <c r="Q11" s="9">
        <v>9.9999999627470894E-3</v>
      </c>
      <c r="R11" s="9">
        <v>5.0000000745058001E-3</v>
      </c>
      <c r="S11" s="9">
        <v>5.0000000745058001E-3</v>
      </c>
      <c r="T11" s="11">
        <v>7.8900000000372499</v>
      </c>
      <c r="U11" s="11">
        <v>5.4849999995902099</v>
      </c>
      <c r="V11" s="11">
        <v>2.8250000001862601</v>
      </c>
      <c r="W11" s="11">
        <v>2.3100000007078001</v>
      </c>
      <c r="X11" s="11">
        <v>9.20999999996274</v>
      </c>
      <c r="Y11" s="11">
        <v>2.49000000003725</v>
      </c>
      <c r="Z11" s="9">
        <v>591.44999999981303</v>
      </c>
      <c r="AA11" s="9">
        <v>316.66500000013002</v>
      </c>
      <c r="AB11" s="9">
        <v>62.110000000055798</v>
      </c>
      <c r="AC11" s="9">
        <v>62.865000000130301</v>
      </c>
      <c r="AD11" s="9">
        <v>564.76999999992495</v>
      </c>
      <c r="AE11" s="9">
        <v>33.242785961402433</v>
      </c>
      <c r="AF11" s="11">
        <v>0.72000000048428703</v>
      </c>
      <c r="AG11" s="11">
        <v>0.460000000707805</v>
      </c>
      <c r="AH11" s="11">
        <v>0.19000000040978099</v>
      </c>
      <c r="AI11" s="11">
        <v>0.170000000111758</v>
      </c>
      <c r="AJ11" s="11">
        <v>0.78499999977648205</v>
      </c>
      <c r="AK11" s="11">
        <v>0.14000000078231001</v>
      </c>
      <c r="AL11" s="9">
        <v>6.3900000009685698</v>
      </c>
      <c r="AM11" s="9">
        <v>6.3750000003725198</v>
      </c>
      <c r="AN11" s="9">
        <v>7.4050000000744998</v>
      </c>
      <c r="AO11" s="9">
        <v>8.7300000015646209</v>
      </c>
      <c r="AP11" s="9">
        <v>4.9849999982863604</v>
      </c>
      <c r="AQ11" s="9">
        <v>6.5000000007450502</v>
      </c>
      <c r="AR11" s="11">
        <v>64.845000000670495</v>
      </c>
      <c r="AS11" s="11">
        <v>69.380000000819507</v>
      </c>
      <c r="AT11" s="11">
        <v>59.715000000223498</v>
      </c>
      <c r="AU11" s="11">
        <v>65.060000000149003</v>
      </c>
      <c r="AV11" s="11">
        <v>51.660000000148997</v>
      </c>
      <c r="AW11" s="11">
        <v>58.740000000223503</v>
      </c>
      <c r="AX11" s="9">
        <v>4.83499999996274</v>
      </c>
      <c r="AY11" s="9">
        <v>4.7549999998882404</v>
      </c>
      <c r="AZ11" s="9">
        <v>5.4849999999627403</v>
      </c>
      <c r="BA11" s="9">
        <v>6.2449999999720598</v>
      </c>
      <c r="BB11" s="9">
        <v>3.68500000005587</v>
      </c>
      <c r="BC11" s="9">
        <v>4.8450000001117504</v>
      </c>
      <c r="BD11" s="11">
        <v>1.25999999996274</v>
      </c>
      <c r="BE11" s="11">
        <v>1.32999999995809</v>
      </c>
      <c r="BF11" s="11">
        <v>1.72000000001862</v>
      </c>
      <c r="BG11" s="11">
        <v>2.0299999999930098</v>
      </c>
      <c r="BH11" s="11">
        <v>0.83999999996740304</v>
      </c>
      <c r="BI11" s="11">
        <v>1.25000000002328</v>
      </c>
      <c r="BJ11" s="9">
        <v>33.234999999776399</v>
      </c>
      <c r="BK11" s="9">
        <v>34.549999999999997</v>
      </c>
      <c r="BL11" s="9">
        <v>45.649999999627397</v>
      </c>
      <c r="BM11" s="9">
        <v>0.53999999985098801</v>
      </c>
      <c r="BN11" s="9">
        <v>17.994999999925401</v>
      </c>
      <c r="BO11" s="9">
        <v>0.33000000007450497</v>
      </c>
      <c r="BP11" s="11">
        <v>0.34500000001862602</v>
      </c>
      <c r="BQ11" s="11">
        <v>0.31499999989755401</v>
      </c>
      <c r="BR11" s="11">
        <v>0.42499999995343302</v>
      </c>
      <c r="BS11" s="11">
        <v>0.49499999997206001</v>
      </c>
      <c r="BT11" s="11">
        <v>0.21999999992549399</v>
      </c>
      <c r="BU11" s="11">
        <v>0.35999999996274701</v>
      </c>
      <c r="BV11" s="9">
        <v>1.7650000000372501</v>
      </c>
      <c r="BW11" s="9">
        <v>1.5999999994412</v>
      </c>
      <c r="BX11" s="9">
        <v>1.93000000026077</v>
      </c>
      <c r="BY11" s="9">
        <v>2.2849999994039498</v>
      </c>
      <c r="BZ11" s="9">
        <v>1.3799999997019701</v>
      </c>
      <c r="CA11" s="9">
        <v>2.2099999997764801</v>
      </c>
      <c r="CB11" s="11">
        <v>34.145000000204803</v>
      </c>
      <c r="CC11" s="11">
        <v>34.290000000037203</v>
      </c>
      <c r="CD11" s="11">
        <v>48.7999999998137</v>
      </c>
      <c r="CE11" s="11">
        <v>63.454999999888202</v>
      </c>
      <c r="CF11" s="11">
        <v>17.109999999776399</v>
      </c>
      <c r="CG11" s="11">
        <v>35.104999999981302</v>
      </c>
      <c r="CH11" s="9">
        <v>0.124999999254941</v>
      </c>
      <c r="CI11" s="9">
        <v>9.4999999925494197E-2</v>
      </c>
      <c r="CJ11" s="9">
        <v>0.114999999292194</v>
      </c>
      <c r="CK11" s="9">
        <v>0.390000000596046</v>
      </c>
      <c r="CL11" s="9">
        <v>8.5000000521540595E-2</v>
      </c>
      <c r="CM11" s="9">
        <v>0.199999999441206</v>
      </c>
    </row>
    <row r="12" spans="2:91" ht="16.5" thickTop="1" thickBot="1">
      <c r="B12" s="9">
        <v>0.61500000022351697</v>
      </c>
      <c r="C12" s="9">
        <v>0.79499999992549397</v>
      </c>
      <c r="D12" s="9">
        <v>0.89500000011175795</v>
      </c>
      <c r="E12" s="9">
        <v>0.95500000063329904</v>
      </c>
      <c r="F12" s="9">
        <v>0.53499999959021804</v>
      </c>
      <c r="G12" s="9">
        <v>0.86000000014901101</v>
      </c>
      <c r="H12" s="11">
        <v>23.314999999944099</v>
      </c>
      <c r="I12" s="11">
        <v>22.0399999997578</v>
      </c>
      <c r="J12" s="11">
        <v>33.374999999627398</v>
      </c>
      <c r="K12" s="11">
        <v>44.760000000055797</v>
      </c>
      <c r="L12" s="11">
        <v>10.140000000037199</v>
      </c>
      <c r="M12" s="11">
        <v>21.9150000000372</v>
      </c>
      <c r="N12" s="9">
        <v>1.50000000372529E-2</v>
      </c>
      <c r="O12" s="9">
        <v>0</v>
      </c>
      <c r="P12" s="9">
        <v>9.9999999627470894E-3</v>
      </c>
      <c r="Q12" s="9">
        <v>1.00000001490116E-2</v>
      </c>
      <c r="R12" s="9">
        <v>1.00000001490116E-2</v>
      </c>
      <c r="S12" s="9">
        <v>1.00000001490116E-2</v>
      </c>
      <c r="T12" s="11">
        <v>9.5299999997019693</v>
      </c>
      <c r="U12" s="11">
        <v>6</v>
      </c>
      <c r="V12" s="11">
        <v>3.2100000001490101</v>
      </c>
      <c r="W12" s="11">
        <v>3.6500000001862598</v>
      </c>
      <c r="X12" s="11">
        <v>9.7049999998882406</v>
      </c>
      <c r="Y12" s="11">
        <v>2.1600000005215398</v>
      </c>
      <c r="Z12" s="9">
        <v>587.43500000024198</v>
      </c>
      <c r="AA12" s="9">
        <v>324.79500000001798</v>
      </c>
      <c r="AB12" s="9">
        <v>61.225000000279302</v>
      </c>
      <c r="AC12" s="9">
        <v>60.605000000074497</v>
      </c>
      <c r="AD12" s="9">
        <v>563.45499999970195</v>
      </c>
      <c r="AE12" s="9">
        <v>63.616815426002439</v>
      </c>
      <c r="AF12" s="11">
        <v>0.72999999988824105</v>
      </c>
      <c r="AG12" s="11">
        <v>0.32499999962747</v>
      </c>
      <c r="AH12" s="11">
        <v>0.26500000003725199</v>
      </c>
      <c r="AI12" s="11">
        <v>0.160000000149011</v>
      </c>
      <c r="AJ12" s="11">
        <v>0.53499999996274705</v>
      </c>
      <c r="AK12" s="11">
        <v>0.14500000011175801</v>
      </c>
      <c r="AL12" s="9">
        <v>6.34500000029802</v>
      </c>
      <c r="AM12" s="9">
        <v>6.3999999992549403</v>
      </c>
      <c r="AN12" s="9">
        <v>7.6000000007450499</v>
      </c>
      <c r="AO12" s="9">
        <v>8.3800000000744994</v>
      </c>
      <c r="AP12" s="9">
        <v>4.9750000007450499</v>
      </c>
      <c r="AQ12" s="9">
        <v>6.60500000081956</v>
      </c>
      <c r="AR12" s="11">
        <v>67.564999999478403</v>
      </c>
      <c r="AS12" s="11">
        <v>70.984999999031402</v>
      </c>
      <c r="AT12" s="11">
        <v>59.470000001042997</v>
      </c>
      <c r="AU12" s="11">
        <v>65.585000000148995</v>
      </c>
      <c r="AV12" s="11">
        <v>51.360000000893997</v>
      </c>
      <c r="AW12" s="11">
        <v>57.904999999329398</v>
      </c>
      <c r="AX12" s="9">
        <v>4.8150000001303797</v>
      </c>
      <c r="AY12" s="9">
        <v>4.6399999999441199</v>
      </c>
      <c r="AZ12" s="9">
        <v>5.4299999998882402</v>
      </c>
      <c r="BA12" s="9">
        <v>6.2050000001210703</v>
      </c>
      <c r="BB12" s="9">
        <v>3.63000000026077</v>
      </c>
      <c r="BC12" s="9">
        <v>4.8049999997950996</v>
      </c>
      <c r="BD12" s="11">
        <v>1.2949999999720601</v>
      </c>
      <c r="BE12" s="11">
        <v>1.31999999997206</v>
      </c>
      <c r="BF12" s="11">
        <v>1.81000000003259</v>
      </c>
      <c r="BG12" s="11">
        <v>2.1050000000104698</v>
      </c>
      <c r="BH12" s="11">
        <v>0.80500000000465599</v>
      </c>
      <c r="BI12" s="11">
        <v>1.29999999997671</v>
      </c>
      <c r="BJ12" s="9">
        <v>33.260000000894003</v>
      </c>
      <c r="BK12" s="9">
        <v>34.784999999776403</v>
      </c>
      <c r="BL12" s="9">
        <v>48.820000001042999</v>
      </c>
      <c r="BM12" s="9">
        <v>0.54500000067055199</v>
      </c>
      <c r="BN12" s="9">
        <v>18.320000000297998</v>
      </c>
      <c r="BO12" s="9">
        <v>0.33499999865889502</v>
      </c>
      <c r="BP12" s="11">
        <v>0.33500000010244502</v>
      </c>
      <c r="BQ12" s="11">
        <v>0.31500000003725198</v>
      </c>
      <c r="BR12" s="11">
        <v>0.41500000003725201</v>
      </c>
      <c r="BS12" s="11">
        <v>0.48500000005587901</v>
      </c>
      <c r="BT12" s="11">
        <v>0.18999999985098801</v>
      </c>
      <c r="BU12" s="11">
        <v>0.35500000021420403</v>
      </c>
      <c r="BV12" s="9">
        <v>1.7099999997764801</v>
      </c>
      <c r="BW12" s="9">
        <v>1.41500000003725</v>
      </c>
      <c r="BX12" s="9">
        <v>2.4349999997764802</v>
      </c>
      <c r="BY12" s="9">
        <v>2.3650000005960399</v>
      </c>
      <c r="BZ12" s="9">
        <v>1.1149999998509801</v>
      </c>
      <c r="CA12" s="9">
        <v>1.41500000003725</v>
      </c>
      <c r="CB12" s="11">
        <v>34.310000000055801</v>
      </c>
      <c r="CC12" s="11">
        <v>34.365000000130301</v>
      </c>
      <c r="CD12" s="11">
        <v>47.1600000002421</v>
      </c>
      <c r="CE12" s="11">
        <v>63.314999999850897</v>
      </c>
      <c r="CF12" s="11">
        <v>16.8949999999254</v>
      </c>
      <c r="CG12" s="11">
        <v>36.559999999962699</v>
      </c>
      <c r="CH12" s="9">
        <v>0.10499999988824101</v>
      </c>
      <c r="CI12" s="9">
        <v>9.00000004097819E-2</v>
      </c>
      <c r="CJ12" s="9">
        <v>0.13500000014901101</v>
      </c>
      <c r="CK12" s="9">
        <v>0.25</v>
      </c>
      <c r="CL12" s="9">
        <v>7.4999999627470906E-2</v>
      </c>
      <c r="CM12" s="9">
        <v>0.14000000003725199</v>
      </c>
    </row>
    <row r="13" spans="2:91" ht="16.5" thickTop="1" thickBot="1">
      <c r="B13" s="9">
        <v>0.81499999985098803</v>
      </c>
      <c r="C13" s="9">
        <v>0.83500000033527599</v>
      </c>
      <c r="D13" s="9">
        <v>0.91500000022351702</v>
      </c>
      <c r="E13" s="9">
        <v>1.0450000004842801</v>
      </c>
      <c r="F13" s="9">
        <v>0.36500000040978098</v>
      </c>
      <c r="G13" s="9">
        <v>0.77000000048428696</v>
      </c>
      <c r="H13" s="11">
        <v>23.109999999869601</v>
      </c>
      <c r="I13" s="11">
        <v>22.285000000055799</v>
      </c>
      <c r="J13" s="11">
        <v>32.880000000074503</v>
      </c>
      <c r="K13" s="11">
        <v>42.575000000372498</v>
      </c>
      <c r="L13" s="11">
        <v>10.0049999997951</v>
      </c>
      <c r="M13" s="11">
        <v>23.704999999795099</v>
      </c>
      <c r="N13" s="9">
        <v>9.9999999627470894E-3</v>
      </c>
      <c r="O13" s="9">
        <v>9.9999999627470894E-3</v>
      </c>
      <c r="P13" s="9">
        <v>1.50000000372529E-2</v>
      </c>
      <c r="Q13" s="9">
        <v>1.00000001490116E-2</v>
      </c>
      <c r="R13" s="9">
        <v>0</v>
      </c>
      <c r="S13" s="9">
        <v>5.0000000745058001E-3</v>
      </c>
      <c r="T13" s="11">
        <v>7.9999999998137303</v>
      </c>
      <c r="U13" s="11">
        <v>6.0299999997019702</v>
      </c>
      <c r="V13" s="11">
        <v>2.6599999999627402</v>
      </c>
      <c r="W13" s="11">
        <v>2.6400000002235098</v>
      </c>
      <c r="X13" s="11">
        <v>10.6349999995902</v>
      </c>
      <c r="Y13" s="11">
        <v>2.2300000002607701</v>
      </c>
      <c r="Z13" s="9">
        <v>579.78500000005499</v>
      </c>
      <c r="AA13" s="9">
        <v>316.13499999977603</v>
      </c>
      <c r="AB13" s="9">
        <v>61.554999999795101</v>
      </c>
      <c r="AC13" s="9">
        <v>61.5349999999627</v>
      </c>
      <c r="AD13" s="9">
        <v>573.440000000037</v>
      </c>
      <c r="AE13" s="9">
        <v>35.331064630627644</v>
      </c>
      <c r="AF13" s="11">
        <v>0.44000000040978099</v>
      </c>
      <c r="AG13" s="11">
        <v>0.32500000018626402</v>
      </c>
      <c r="AH13" s="11">
        <v>0.249999999813735</v>
      </c>
      <c r="AI13" s="11">
        <v>0.15500000007450501</v>
      </c>
      <c r="AJ13" s="11">
        <v>0.46999999992549402</v>
      </c>
      <c r="AK13" s="11">
        <v>0.109999999590218</v>
      </c>
      <c r="AL13" s="9">
        <v>6.4949999988079004</v>
      </c>
      <c r="AM13" s="9">
        <v>6.5350000001490098</v>
      </c>
      <c r="AN13" s="9">
        <v>7.1199999991804299</v>
      </c>
      <c r="AO13" s="9">
        <v>8.2949999995529602</v>
      </c>
      <c r="AP13" s="9">
        <v>4.9750000007450499</v>
      </c>
      <c r="AQ13" s="9">
        <v>9.13999999910593</v>
      </c>
      <c r="AR13" s="11">
        <v>65.710000000148995</v>
      </c>
      <c r="AS13" s="11">
        <v>70.745000000298006</v>
      </c>
      <c r="AT13" s="11">
        <v>64.780000000447004</v>
      </c>
      <c r="AU13" s="11">
        <v>66.080000000447001</v>
      </c>
      <c r="AV13" s="11">
        <v>51.05</v>
      </c>
      <c r="AW13" s="11">
        <v>58.364999999105898</v>
      </c>
      <c r="AX13" s="9">
        <v>4.7449999999254899</v>
      </c>
      <c r="AY13" s="9">
        <v>4.6849999999627396</v>
      </c>
      <c r="AZ13" s="9">
        <v>5.5099999998696099</v>
      </c>
      <c r="BA13" s="9">
        <v>6.1700000000651896</v>
      </c>
      <c r="BB13" s="9">
        <v>3.6850000001490102</v>
      </c>
      <c r="BC13" s="9">
        <v>4.7699999998323603</v>
      </c>
      <c r="BD13" s="11">
        <v>1.2049999999813701</v>
      </c>
      <c r="BE13" s="11">
        <v>1.3300000000046499</v>
      </c>
      <c r="BF13" s="11">
        <v>1.7100000000558699</v>
      </c>
      <c r="BG13" s="11">
        <v>1.9750000000116399</v>
      </c>
      <c r="BH13" s="11">
        <v>0.80500000000465599</v>
      </c>
      <c r="BI13" s="11">
        <v>1.30500000000465</v>
      </c>
      <c r="BJ13" s="9">
        <v>33.75</v>
      </c>
      <c r="BK13" s="9">
        <v>34.855000000446999</v>
      </c>
      <c r="BL13" s="9">
        <v>45.835000000521497</v>
      </c>
      <c r="BM13" s="9">
        <v>0.52999999970197598</v>
      </c>
      <c r="BN13" s="9">
        <v>18.159999999403901</v>
      </c>
      <c r="BO13" s="9">
        <v>0.36000000052154002</v>
      </c>
      <c r="BP13" s="11">
        <v>0.34499999992549402</v>
      </c>
      <c r="BQ13" s="11">
        <v>0.31499999994411998</v>
      </c>
      <c r="BR13" s="11">
        <v>0.39000000017695102</v>
      </c>
      <c r="BS13" s="11">
        <v>0.50499999998137302</v>
      </c>
      <c r="BT13" s="11">
        <v>0.19000000003725201</v>
      </c>
      <c r="BU13" s="11">
        <v>0.340000000037252</v>
      </c>
      <c r="BV13" s="9">
        <v>1.56000000014901</v>
      </c>
      <c r="BW13" s="9">
        <v>1.6299999997019701</v>
      </c>
      <c r="BX13" s="9">
        <v>1.5850000001490101</v>
      </c>
      <c r="BY13" s="9">
        <v>2.6350000001490099</v>
      </c>
      <c r="BZ13" s="9">
        <v>1.2600000005215399</v>
      </c>
      <c r="CA13" s="9">
        <v>1.6199999993667</v>
      </c>
      <c r="CB13" s="11">
        <v>35.085000000242097</v>
      </c>
      <c r="CC13" s="11">
        <v>34.370000000018599</v>
      </c>
      <c r="CD13" s="11">
        <v>47.230000000353897</v>
      </c>
      <c r="CE13" s="11">
        <v>64.845000000111696</v>
      </c>
      <c r="CF13" s="11">
        <v>17.309999999962699</v>
      </c>
      <c r="CG13" s="11">
        <v>37.339999999944098</v>
      </c>
      <c r="CH13" s="9">
        <v>9.4999999552965106E-2</v>
      </c>
      <c r="CI13" s="9">
        <v>9.9999999813735405E-2</v>
      </c>
      <c r="CJ13" s="9">
        <v>0.16999999936669999</v>
      </c>
      <c r="CK13" s="9">
        <v>0.200000000558793</v>
      </c>
      <c r="CL13" s="9">
        <v>0.125000000186264</v>
      </c>
      <c r="CM13" s="9">
        <v>0.125000000186264</v>
      </c>
    </row>
    <row r="14" spans="2:91" ht="16.5" thickTop="1" thickBot="1">
      <c r="B14" s="9">
        <v>0.75999999977648203</v>
      </c>
      <c r="C14" s="9">
        <v>0.51999999992549395</v>
      </c>
      <c r="D14" s="9">
        <v>1.02999999970197</v>
      </c>
      <c r="E14" s="9">
        <v>1.10000000018626</v>
      </c>
      <c r="F14" s="9">
        <v>0.49499999992549398</v>
      </c>
      <c r="G14" s="9">
        <v>1.1900000004097799</v>
      </c>
      <c r="H14" s="11">
        <v>21.8649999996647</v>
      </c>
      <c r="I14" s="11">
        <v>22.044999999925398</v>
      </c>
      <c r="J14" s="11">
        <v>32.7700000001117</v>
      </c>
      <c r="K14" s="11">
        <v>42.209999999962697</v>
      </c>
      <c r="L14" s="11">
        <v>10.3350000000558</v>
      </c>
      <c r="M14" s="11">
        <v>22.620000000111698</v>
      </c>
      <c r="N14" s="9">
        <v>9.9999999627470894E-3</v>
      </c>
      <c r="O14" s="9">
        <v>5.0000000745058001E-3</v>
      </c>
      <c r="P14" s="9">
        <v>5.0000000745058001E-3</v>
      </c>
      <c r="Q14" s="9">
        <v>4.9999998882412902E-3</v>
      </c>
      <c r="R14" s="9">
        <v>5.0000000745058001E-3</v>
      </c>
      <c r="S14" s="9">
        <v>4.9999998882412902E-3</v>
      </c>
      <c r="T14" s="11">
        <v>9.3149999998509792</v>
      </c>
      <c r="U14" s="11">
        <v>6.5349999999627402</v>
      </c>
      <c r="V14" s="11">
        <v>2.98499999977648</v>
      </c>
      <c r="W14" s="11">
        <v>3.1749999998137302</v>
      </c>
      <c r="X14" s="11">
        <v>9.1550000000744998</v>
      </c>
      <c r="Y14" s="11">
        <v>2.2649999994784502</v>
      </c>
      <c r="Z14" s="9">
        <v>578.42999999979497</v>
      </c>
      <c r="AA14" s="9">
        <v>315.80999999949699</v>
      </c>
      <c r="AB14" s="9">
        <v>60.299999999906802</v>
      </c>
      <c r="AC14" s="9">
        <v>62.835000000242097</v>
      </c>
      <c r="AD14" s="9">
        <v>559.404999999795</v>
      </c>
      <c r="AE14" s="9">
        <v>62.844119653640341</v>
      </c>
      <c r="AF14" s="11">
        <v>0.60500000026077005</v>
      </c>
      <c r="AG14" s="11">
        <v>0.45999999996274699</v>
      </c>
      <c r="AH14" s="11">
        <v>0.249999999813735</v>
      </c>
      <c r="AI14" s="11">
        <v>0.160000000335276</v>
      </c>
      <c r="AJ14" s="11">
        <v>0.53999999966472301</v>
      </c>
      <c r="AK14" s="11">
        <v>0.10999999921768901</v>
      </c>
      <c r="AL14" s="9">
        <v>6.3549999985843897</v>
      </c>
      <c r="AM14" s="9">
        <v>6.4249999992549398</v>
      </c>
      <c r="AN14" s="9">
        <v>7.2199999999254896</v>
      </c>
      <c r="AO14" s="9">
        <v>8.5050000008195603</v>
      </c>
      <c r="AP14" s="9">
        <v>5.1049999993294399</v>
      </c>
      <c r="AQ14" s="9">
        <v>6.7849999997764803</v>
      </c>
      <c r="AR14" s="11">
        <v>66.645000000297998</v>
      </c>
      <c r="AS14" s="11">
        <v>70.510000000521501</v>
      </c>
      <c r="AT14" s="11">
        <v>66.765000000596004</v>
      </c>
      <c r="AU14" s="11">
        <v>65.974999999999994</v>
      </c>
      <c r="AV14" s="11">
        <v>50.765000001713602</v>
      </c>
      <c r="AW14" s="11">
        <v>58.145000001043002</v>
      </c>
      <c r="AX14" s="9">
        <v>4.7649999999441199</v>
      </c>
      <c r="AY14" s="9">
        <v>4.6999999999068596</v>
      </c>
      <c r="AZ14" s="9">
        <v>5.47999999998137</v>
      </c>
      <c r="BA14" s="9">
        <v>6.2650000000372499</v>
      </c>
      <c r="BB14" s="9">
        <v>3.9100000003352702</v>
      </c>
      <c r="BC14" s="9">
        <v>4.7300000001676299</v>
      </c>
      <c r="BD14" s="11">
        <v>1.2950000000186199</v>
      </c>
      <c r="BE14" s="11">
        <v>1.3799999999813699</v>
      </c>
      <c r="BF14" s="11">
        <v>1.6300000000745001</v>
      </c>
      <c r="BG14" s="11">
        <v>1.9399999999906801</v>
      </c>
      <c r="BH14" s="11">
        <v>0.82499999997671603</v>
      </c>
      <c r="BI14" s="11">
        <v>1.31000000003259</v>
      </c>
      <c r="BJ14" s="9">
        <v>33.384999999776397</v>
      </c>
      <c r="BK14" s="9">
        <v>35.0400000002235</v>
      </c>
      <c r="BL14" s="9">
        <v>45.849999998882403</v>
      </c>
      <c r="BM14" s="9">
        <v>0.52500000037252903</v>
      </c>
      <c r="BN14" s="9">
        <v>18.0549999993294</v>
      </c>
      <c r="BO14" s="9">
        <v>0.34500000029802302</v>
      </c>
      <c r="BP14" s="11">
        <v>0.29499999997206</v>
      </c>
      <c r="BQ14" s="11">
        <v>0.32999999988824102</v>
      </c>
      <c r="BR14" s="11">
        <v>0.42499999999999999</v>
      </c>
      <c r="BS14" s="11">
        <v>0.5</v>
      </c>
      <c r="BT14" s="11">
        <v>0.205000000027939</v>
      </c>
      <c r="BU14" s="11">
        <v>0.30500000007450501</v>
      </c>
      <c r="BV14" s="9">
        <v>2.0699999999254901</v>
      </c>
      <c r="BW14" s="9">
        <v>1.9349999995902101</v>
      </c>
      <c r="BX14" s="9">
        <v>1.9650000000372501</v>
      </c>
      <c r="BY14" s="9">
        <v>2.8099999999627401</v>
      </c>
      <c r="BZ14" s="9">
        <v>1.3350000001490101</v>
      </c>
      <c r="CA14" s="9">
        <v>1.8200000006705499</v>
      </c>
      <c r="CB14" s="11">
        <v>34.1049999998882</v>
      </c>
      <c r="CC14" s="11">
        <v>34.300000000279397</v>
      </c>
      <c r="CD14" s="11">
        <v>49.289999999944101</v>
      </c>
      <c r="CE14" s="11">
        <v>63.309999999869603</v>
      </c>
      <c r="CF14" s="11">
        <v>18.1499999999068</v>
      </c>
      <c r="CG14" s="11">
        <v>35.304999999888203</v>
      </c>
      <c r="CH14" s="9">
        <v>0.100000000186264</v>
      </c>
      <c r="CI14" s="9">
        <v>0.12500000055879301</v>
      </c>
      <c r="CJ14" s="9">
        <v>0.15500000007450501</v>
      </c>
      <c r="CK14" s="9">
        <v>0.21000000033527599</v>
      </c>
      <c r="CL14" s="9">
        <v>7.5000000186264501E-2</v>
      </c>
      <c r="CM14" s="9">
        <v>7.5000000558793495E-2</v>
      </c>
    </row>
    <row r="15" spans="2:91" ht="16.5" thickTop="1" thickBot="1">
      <c r="B15" s="9">
        <v>0.86000000033527602</v>
      </c>
      <c r="C15" s="9">
        <v>0.77500000018626403</v>
      </c>
      <c r="D15" s="9">
        <v>1.0049999997019701</v>
      </c>
      <c r="E15" s="9">
        <v>1.0999999996274701</v>
      </c>
      <c r="F15" s="9">
        <v>0.29500000011175798</v>
      </c>
      <c r="G15" s="9">
        <v>0.69500000067055201</v>
      </c>
      <c r="H15" s="11">
        <v>21.0949999998323</v>
      </c>
      <c r="I15" s="11">
        <v>22.150000000093101</v>
      </c>
      <c r="J15" s="11">
        <v>32.820000000111698</v>
      </c>
      <c r="K15" s="11">
        <v>44.200000000093098</v>
      </c>
      <c r="L15" s="11">
        <v>10.5300000000745</v>
      </c>
      <c r="M15" s="11">
        <v>21.650000000093101</v>
      </c>
      <c r="N15" s="9">
        <v>9.9999999627470894E-3</v>
      </c>
      <c r="O15" s="9">
        <v>1.00000001490116E-2</v>
      </c>
      <c r="P15" s="9">
        <v>5.0000000745058001E-3</v>
      </c>
      <c r="Q15" s="9">
        <v>5.0000000745058001E-3</v>
      </c>
      <c r="R15" s="9">
        <v>1.4999999850988301E-2</v>
      </c>
      <c r="S15" s="9">
        <v>0</v>
      </c>
      <c r="T15" s="11">
        <v>8.5449999999254906</v>
      </c>
      <c r="U15" s="11">
        <v>5.2849999997764803</v>
      </c>
      <c r="V15" s="11">
        <v>3.84499999955296</v>
      </c>
      <c r="W15" s="11">
        <v>2.9249999999999998</v>
      </c>
      <c r="X15" s="11">
        <v>9.6349999999627407</v>
      </c>
      <c r="Y15" s="11">
        <v>2.2449999997392198</v>
      </c>
      <c r="Z15" s="9">
        <v>577.50999999986902</v>
      </c>
      <c r="AA15" s="9">
        <v>323.83999999975703</v>
      </c>
      <c r="AB15" s="9">
        <v>60.044999999832299</v>
      </c>
      <c r="AC15" s="9">
        <v>63.780000000353901</v>
      </c>
      <c r="AD15" s="9">
        <v>563.48999999985097</v>
      </c>
      <c r="AE15" s="9">
        <v>58.40333402773571</v>
      </c>
      <c r="AF15" s="11">
        <v>0.52500000000000002</v>
      </c>
      <c r="AG15" s="11">
        <v>0.51999999936670005</v>
      </c>
      <c r="AH15" s="11">
        <v>0.19999999962747</v>
      </c>
      <c r="AI15" s="11">
        <v>9.0000000223517396E-2</v>
      </c>
      <c r="AJ15" s="11">
        <v>0.73499999996274701</v>
      </c>
      <c r="AK15" s="11">
        <v>0.25000000055879301</v>
      </c>
      <c r="AL15" s="9">
        <v>6.3049999993294401</v>
      </c>
      <c r="AM15" s="9">
        <v>6.4100000001490098</v>
      </c>
      <c r="AN15" s="9">
        <v>7.3500000007450499</v>
      </c>
      <c r="AO15" s="9">
        <v>8.4449999988078996</v>
      </c>
      <c r="AP15" s="9">
        <v>5.0999999996274701</v>
      </c>
      <c r="AQ15" s="9">
        <v>6.8150000002235096</v>
      </c>
      <c r="AR15" s="11">
        <v>66.644999998807904</v>
      </c>
      <c r="AS15" s="11">
        <v>69.840000001341096</v>
      </c>
      <c r="AT15" s="11">
        <v>66.874999998882402</v>
      </c>
      <c r="AU15" s="11">
        <v>66.179999999701906</v>
      </c>
      <c r="AV15" s="11">
        <v>50.7399999994784</v>
      </c>
      <c r="AW15" s="11">
        <v>58.205000000074499</v>
      </c>
      <c r="AX15" s="9">
        <v>4.7</v>
      </c>
      <c r="AY15" s="9">
        <v>4.72999999998137</v>
      </c>
      <c r="AZ15" s="9">
        <v>5.4200000003911502</v>
      </c>
      <c r="BA15" s="9">
        <v>6.2349999999627403</v>
      </c>
      <c r="BB15" s="9">
        <v>3.7100000000558699</v>
      </c>
      <c r="BC15" s="9">
        <v>4.8099999997764797</v>
      </c>
      <c r="BD15" s="11">
        <v>1.35499999998137</v>
      </c>
      <c r="BE15" s="11">
        <v>1.33500000007916</v>
      </c>
      <c r="BF15" s="11">
        <v>1.625</v>
      </c>
      <c r="BG15" s="11">
        <v>1.93000000001047</v>
      </c>
      <c r="BH15" s="11">
        <v>0.78000000000465597</v>
      </c>
      <c r="BI15" s="11">
        <v>1.26000000004423</v>
      </c>
      <c r="BJ15" s="9">
        <v>36.439999999850897</v>
      </c>
      <c r="BK15" s="9">
        <v>34.909999999403901</v>
      </c>
      <c r="BL15" s="9">
        <v>45.610000000893997</v>
      </c>
      <c r="BM15" s="9">
        <v>0.52499999962747101</v>
      </c>
      <c r="BN15" s="9">
        <v>17.599999999254901</v>
      </c>
      <c r="BO15" s="9">
        <v>0.34499999843537799</v>
      </c>
      <c r="BP15" s="11">
        <v>0.30500000007450501</v>
      </c>
      <c r="BQ15" s="11">
        <v>0.33999999994412</v>
      </c>
      <c r="BR15" s="11">
        <v>0.43500000010244499</v>
      </c>
      <c r="BS15" s="11">
        <v>0.46999999997205999</v>
      </c>
      <c r="BT15" s="11">
        <v>0.18500000005587899</v>
      </c>
      <c r="BU15" s="11">
        <v>0.34000000013038501</v>
      </c>
      <c r="BV15" s="9">
        <v>1.32000000011175</v>
      </c>
      <c r="BW15" s="9">
        <v>1.77500000055879</v>
      </c>
      <c r="BX15" s="9">
        <v>1.93999999985098</v>
      </c>
      <c r="BY15" s="9">
        <v>2.83499999996274</v>
      </c>
      <c r="BZ15" s="9">
        <v>1.2849999999627399</v>
      </c>
      <c r="CA15" s="9">
        <v>1.9849999999627399</v>
      </c>
      <c r="CB15" s="11">
        <v>34.304999999888203</v>
      </c>
      <c r="CC15" s="11">
        <v>34.239999999944096</v>
      </c>
      <c r="CD15" s="11">
        <v>47.319999999832298</v>
      </c>
      <c r="CE15" s="11">
        <v>63.594999999646099</v>
      </c>
      <c r="CF15" s="11">
        <v>16.670000000204801</v>
      </c>
      <c r="CG15" s="11">
        <v>34.595000000018601</v>
      </c>
      <c r="CH15" s="9">
        <v>8.5000000149011601E-2</v>
      </c>
      <c r="CI15" s="9">
        <v>9.0000000037252906E-2</v>
      </c>
      <c r="CJ15" s="9">
        <v>0.11000000052154001</v>
      </c>
      <c r="CK15" s="9">
        <v>0.21000000033527599</v>
      </c>
      <c r="CL15" s="9">
        <v>6.5000000409781905E-2</v>
      </c>
      <c r="CM15" s="9">
        <v>0.144999999552965</v>
      </c>
    </row>
    <row r="16" spans="2:91" ht="16.5" thickTop="1" thickBot="1">
      <c r="B16" s="9">
        <v>0.76499999985098799</v>
      </c>
      <c r="C16" s="9">
        <v>0.78999999985098801</v>
      </c>
      <c r="D16" s="9">
        <v>0.82999999988824102</v>
      </c>
      <c r="E16" s="9">
        <v>1.2149999994784499</v>
      </c>
      <c r="F16" s="9">
        <v>0.51000000033527604</v>
      </c>
      <c r="G16" s="9">
        <v>0.73500000014901101</v>
      </c>
      <c r="H16" s="11">
        <v>21.6550000001676</v>
      </c>
      <c r="I16" s="11">
        <v>21.839999999944101</v>
      </c>
      <c r="J16" s="11">
        <v>33.174999999999997</v>
      </c>
      <c r="K16" s="11">
        <v>42.7099999997764</v>
      </c>
      <c r="L16" s="11">
        <v>11.565000000223501</v>
      </c>
      <c r="M16" s="11">
        <v>22.934999999683299</v>
      </c>
      <c r="N16" s="9">
        <v>0</v>
      </c>
      <c r="O16" s="9">
        <v>5.0000000745058001E-3</v>
      </c>
      <c r="P16" s="9">
        <v>0</v>
      </c>
      <c r="Q16" s="9">
        <v>9.9999999627470894E-3</v>
      </c>
      <c r="R16" s="9">
        <v>9.9999999627470894E-3</v>
      </c>
      <c r="S16" s="9">
        <v>1.50000000372529E-2</v>
      </c>
      <c r="T16" s="11">
        <v>9.1899999998509792</v>
      </c>
      <c r="U16" s="11">
        <v>6.2449999995529604</v>
      </c>
      <c r="V16" s="11">
        <v>2.7249999996274701</v>
      </c>
      <c r="W16" s="11">
        <v>3.1699999997392299</v>
      </c>
      <c r="X16" s="11">
        <v>9.70499999970197</v>
      </c>
      <c r="Y16" s="11">
        <v>2.5300000006332901</v>
      </c>
      <c r="Z16" s="9">
        <v>575.00999999968303</v>
      </c>
      <c r="AA16" s="9">
        <v>320.90999999977601</v>
      </c>
      <c r="AB16" s="9">
        <v>58.450000000093098</v>
      </c>
      <c r="AC16" s="9">
        <v>60.654999999888197</v>
      </c>
      <c r="AD16" s="9">
        <v>561.62499999981299</v>
      </c>
      <c r="AE16" s="9">
        <v>63.863316303689778</v>
      </c>
      <c r="AF16" s="11">
        <v>0.58500000052154</v>
      </c>
      <c r="AG16" s="11">
        <v>0.54500000029802298</v>
      </c>
      <c r="AH16" s="11">
        <v>0.175000000558793</v>
      </c>
      <c r="AI16" s="11">
        <v>9.4999999925494197E-2</v>
      </c>
      <c r="AJ16" s="11">
        <v>0.70499999932944701</v>
      </c>
      <c r="AK16" s="11">
        <v>0.130000000447034</v>
      </c>
      <c r="AL16" s="9">
        <v>6.34500000029802</v>
      </c>
      <c r="AM16" s="9">
        <v>6.4450000006705501</v>
      </c>
      <c r="AN16" s="9">
        <v>7.2800000000744998</v>
      </c>
      <c r="AO16" s="9">
        <v>8.4899999998509799</v>
      </c>
      <c r="AP16" s="9">
        <v>5.0200000002980198</v>
      </c>
      <c r="AQ16" s="9">
        <v>6.7900000009685701</v>
      </c>
      <c r="AR16" s="11">
        <v>67.364999999850994</v>
      </c>
      <c r="AS16" s="11">
        <v>70.040000000595995</v>
      </c>
      <c r="AT16" s="11">
        <v>67.005000001192002</v>
      </c>
      <c r="AU16" s="11">
        <v>65.264999999478405</v>
      </c>
      <c r="AV16" s="11">
        <v>50.669999999925402</v>
      </c>
      <c r="AW16" s="11">
        <v>58.695000000298002</v>
      </c>
      <c r="AX16" s="9">
        <v>4.8000000000931298</v>
      </c>
      <c r="AY16" s="9">
        <v>4.6749999998137302</v>
      </c>
      <c r="AZ16" s="9">
        <v>5.4649999998509804</v>
      </c>
      <c r="BA16" s="9">
        <v>6.1950000000186201</v>
      </c>
      <c r="BB16" s="9">
        <v>3.6300000001676298</v>
      </c>
      <c r="BC16" s="9">
        <v>4.7349999999627403</v>
      </c>
      <c r="BD16" s="11">
        <v>1.2600000000093099</v>
      </c>
      <c r="BE16" s="11">
        <v>1.3449999999487701</v>
      </c>
      <c r="BF16" s="11">
        <v>1.65999999998603</v>
      </c>
      <c r="BG16" s="11">
        <v>1.9649999999965</v>
      </c>
      <c r="BH16" s="11">
        <v>0.81000000000931305</v>
      </c>
      <c r="BI16" s="11">
        <v>1.2599999999976701</v>
      </c>
      <c r="BJ16" s="9">
        <v>33.609999999403897</v>
      </c>
      <c r="BK16" s="9">
        <v>34.814999999478403</v>
      </c>
      <c r="BL16" s="9">
        <v>45.870000000297999</v>
      </c>
      <c r="BM16" s="9">
        <v>0.515000000596046</v>
      </c>
      <c r="BN16" s="9">
        <v>17.765000000223498</v>
      </c>
      <c r="BO16" s="9">
        <v>0.32499999962747</v>
      </c>
      <c r="BP16" s="11">
        <v>0.30499999993480698</v>
      </c>
      <c r="BQ16" s="11">
        <v>0.32499999995343298</v>
      </c>
      <c r="BR16" s="11">
        <v>0.42999999984167497</v>
      </c>
      <c r="BS16" s="11">
        <v>0.50499999998137302</v>
      </c>
      <c r="BT16" s="11">
        <v>0.20000000004656601</v>
      </c>
      <c r="BU16" s="11">
        <v>0.36999999992549398</v>
      </c>
      <c r="BV16" s="9">
        <v>1.5699999995529601</v>
      </c>
      <c r="BW16" s="9">
        <v>1.65000000018626</v>
      </c>
      <c r="BX16" s="9">
        <v>2.5449999997392299</v>
      </c>
      <c r="BY16" s="9">
        <v>2.6849999995902101</v>
      </c>
      <c r="BZ16" s="9">
        <v>0.89500000067055197</v>
      </c>
      <c r="CA16" s="9">
        <v>1.9050000002607701</v>
      </c>
      <c r="CB16" s="11">
        <v>33.985000000055798</v>
      </c>
      <c r="CC16" s="11">
        <v>34.170000000111699</v>
      </c>
      <c r="CD16" s="11">
        <v>47.620000000018599</v>
      </c>
      <c r="CE16" s="11">
        <v>63.069999999832298</v>
      </c>
      <c r="CF16" s="11">
        <v>16.705000000167601</v>
      </c>
      <c r="CG16" s="11">
        <v>34.550000000186202</v>
      </c>
      <c r="CH16" s="9">
        <v>9.00000004097819E-2</v>
      </c>
      <c r="CI16" s="9">
        <v>7.5000000558793495E-2</v>
      </c>
      <c r="CJ16" s="9">
        <v>0.20000000037252899</v>
      </c>
      <c r="CK16" s="9">
        <v>0.160000000335276</v>
      </c>
      <c r="CL16" s="9">
        <v>5.00000001862645E-2</v>
      </c>
      <c r="CM16" s="9">
        <v>0.125</v>
      </c>
    </row>
    <row r="17" spans="1:91" ht="16.5" thickTop="1" thickBot="1">
      <c r="B17" s="9">
        <v>0.74499999973922904</v>
      </c>
      <c r="C17" s="9">
        <v>0.64499999992549395</v>
      </c>
      <c r="D17" s="9">
        <v>0.765000000409781</v>
      </c>
      <c r="E17" s="9">
        <v>0.95499999951571202</v>
      </c>
      <c r="F17" s="9">
        <v>0.54499999973922897</v>
      </c>
      <c r="G17" s="9">
        <v>0.81500000022351704</v>
      </c>
      <c r="H17" s="11">
        <v>23.3949999999254</v>
      </c>
      <c r="I17" s="11">
        <v>21.810000000242098</v>
      </c>
      <c r="J17" s="11">
        <v>32.385000000148999</v>
      </c>
      <c r="K17" s="11">
        <v>43.669999999832299</v>
      </c>
      <c r="L17" s="11">
        <v>10.840000000223499</v>
      </c>
      <c r="M17" s="11">
        <v>24.265000000037201</v>
      </c>
      <c r="N17" s="9">
        <v>2.00000002980232E-2</v>
      </c>
      <c r="O17" s="9">
        <v>1.00000001490116E-2</v>
      </c>
      <c r="P17" s="9">
        <v>1.00000001490116E-2</v>
      </c>
      <c r="Q17" s="9">
        <v>5.0000000745058001E-3</v>
      </c>
      <c r="R17" s="9">
        <v>5.0000000745058001E-3</v>
      </c>
      <c r="S17" s="9">
        <v>0</v>
      </c>
      <c r="T17" s="11">
        <v>9.6650000002235092</v>
      </c>
      <c r="U17" s="11">
        <v>6.2149999996647196</v>
      </c>
      <c r="V17" s="11">
        <v>2.0849999997764801</v>
      </c>
      <c r="W17" s="11">
        <v>3.1199999995529599</v>
      </c>
      <c r="X17" s="11">
        <v>8.9950000001117498</v>
      </c>
      <c r="Y17" s="11">
        <v>3.0149999998509802</v>
      </c>
      <c r="Z17" s="9">
        <v>579.195000000204</v>
      </c>
      <c r="AA17" s="9">
        <v>315.69499999983202</v>
      </c>
      <c r="AB17" s="9">
        <v>58.485000000149</v>
      </c>
      <c r="AC17" s="9">
        <v>62.109999999962703</v>
      </c>
      <c r="AD17" s="9">
        <v>563.15499999998099</v>
      </c>
      <c r="AE17" s="9">
        <v>27.625966569109156</v>
      </c>
      <c r="AF17" s="11">
        <v>0.71500000022351695</v>
      </c>
      <c r="AG17" s="11">
        <v>0.410000000149011</v>
      </c>
      <c r="AH17" s="11">
        <v>0.13999999985098799</v>
      </c>
      <c r="AI17" s="11">
        <v>0.124999999813735</v>
      </c>
      <c r="AJ17" s="11">
        <v>0.515000000409781</v>
      </c>
      <c r="AK17" s="11">
        <v>0.13000000007450499</v>
      </c>
      <c r="AL17" s="9">
        <v>6.3299999993294396</v>
      </c>
      <c r="AM17" s="9">
        <v>6.4699999991804296</v>
      </c>
      <c r="AN17" s="9">
        <v>7.1749999999999998</v>
      </c>
      <c r="AO17" s="9">
        <v>8.3949999995529598</v>
      </c>
      <c r="AP17" s="9">
        <v>5.10999999865889</v>
      </c>
      <c r="AQ17" s="9">
        <v>6.5749999996274697</v>
      </c>
      <c r="AR17" s="11">
        <v>67.394999999925403</v>
      </c>
      <c r="AS17" s="11">
        <v>70.224999999999994</v>
      </c>
      <c r="AT17" s="11">
        <v>66.960000000893999</v>
      </c>
      <c r="AU17" s="11">
        <v>65.104999999701903</v>
      </c>
      <c r="AV17" s="11">
        <v>52.0099999990314</v>
      </c>
      <c r="AW17" s="11">
        <v>58.050000000745001</v>
      </c>
      <c r="AX17" s="9">
        <v>4.75500000026077</v>
      </c>
      <c r="AY17" s="9">
        <v>4.6249999997206004</v>
      </c>
      <c r="AZ17" s="9">
        <v>5.5000000000931299</v>
      </c>
      <c r="BA17" s="9">
        <v>6.1850000001024403</v>
      </c>
      <c r="BB17" s="9">
        <v>3.8149999999441202</v>
      </c>
      <c r="BC17" s="9">
        <v>4.7550000001676302</v>
      </c>
      <c r="BD17" s="11">
        <v>1.2700000000419001</v>
      </c>
      <c r="BE17" s="11">
        <v>1.3150000000372499</v>
      </c>
      <c r="BF17" s="11">
        <v>1.5850000000093101</v>
      </c>
      <c r="BG17" s="11">
        <v>1.95999999999185</v>
      </c>
      <c r="BH17" s="11">
        <v>0.80999999999767103</v>
      </c>
      <c r="BI17" s="11">
        <v>1.2650000000139601</v>
      </c>
      <c r="BJ17" s="9">
        <v>33.274999999254902</v>
      </c>
      <c r="BK17" s="9">
        <v>34.480000000074497</v>
      </c>
      <c r="BL17" s="9">
        <v>45.984999999776399</v>
      </c>
      <c r="BM17" s="9">
        <v>0.51999999918043605</v>
      </c>
      <c r="BN17" s="9">
        <v>17.759999999403899</v>
      </c>
      <c r="BO17" s="9">
        <v>0.35500000193715098</v>
      </c>
      <c r="BP17" s="11">
        <v>0.32499999986030098</v>
      </c>
      <c r="BQ17" s="11">
        <v>0.31999999997206002</v>
      </c>
      <c r="BR17" s="11">
        <v>0.410000000055879</v>
      </c>
      <c r="BS17" s="11">
        <v>0.51500000003725199</v>
      </c>
      <c r="BT17" s="11">
        <v>0.204999999981373</v>
      </c>
      <c r="BU17" s="11">
        <v>0.34500000011175802</v>
      </c>
      <c r="BV17" s="9">
        <v>1.1600000001490101</v>
      </c>
      <c r="BW17" s="9">
        <v>1.8549999997019699</v>
      </c>
      <c r="BX17" s="9">
        <v>2.1649999998509801</v>
      </c>
      <c r="BY17" s="9">
        <v>2.6099999999627399</v>
      </c>
      <c r="BZ17" s="9">
        <v>0.92499999944120603</v>
      </c>
      <c r="CA17" s="9">
        <v>1.8150000000372499</v>
      </c>
      <c r="CB17" s="11">
        <v>34.165000000130298</v>
      </c>
      <c r="CC17" s="11">
        <v>34.339999999664698</v>
      </c>
      <c r="CD17" s="11">
        <v>47.310000000242098</v>
      </c>
      <c r="CE17" s="11">
        <v>63.224999999813697</v>
      </c>
      <c r="CF17" s="11">
        <v>18.065000000037202</v>
      </c>
      <c r="CG17" s="11">
        <v>35.1599999999627</v>
      </c>
      <c r="CH17" s="9">
        <v>9.5000000111758701E-2</v>
      </c>
      <c r="CI17" s="9">
        <v>8.5000000149011601E-2</v>
      </c>
      <c r="CJ17" s="9">
        <v>0.115000000223517</v>
      </c>
      <c r="CK17" s="9">
        <v>0.130000000447034</v>
      </c>
      <c r="CL17" s="9">
        <v>8.0000000074505806E-2</v>
      </c>
      <c r="CM17" s="9">
        <v>7.4999999813735396E-2</v>
      </c>
    </row>
    <row r="18" spans="1:91" ht="16.5" thickTop="1" thickBot="1">
      <c r="B18" s="9">
        <v>0.69500000048428701</v>
      </c>
      <c r="C18" s="9">
        <v>0.70499999988824102</v>
      </c>
      <c r="D18" s="9">
        <v>0.54999999981373504</v>
      </c>
      <c r="E18" s="9">
        <v>0.91999999973922897</v>
      </c>
      <c r="F18" s="9">
        <v>0.46499999947845899</v>
      </c>
      <c r="G18" s="9">
        <v>0.86500000040978198</v>
      </c>
      <c r="H18" s="11">
        <v>21.0400000000372</v>
      </c>
      <c r="I18" s="11">
        <v>21.859999999776399</v>
      </c>
      <c r="J18" s="11">
        <v>32.375</v>
      </c>
      <c r="K18" s="11">
        <v>44.785000000148997</v>
      </c>
      <c r="L18" s="11">
        <v>10.125000000093101</v>
      </c>
      <c r="M18" s="11">
        <v>23.910000000335199</v>
      </c>
      <c r="N18" s="9">
        <v>9.9999999627470894E-3</v>
      </c>
      <c r="O18" s="9">
        <v>0</v>
      </c>
      <c r="P18" s="9">
        <v>9.9999999627470894E-3</v>
      </c>
      <c r="Q18" s="9">
        <v>9.9999999627470894E-3</v>
      </c>
      <c r="R18" s="9">
        <v>5.0000000745058001E-3</v>
      </c>
      <c r="S18" s="9">
        <v>1.50000000372529E-2</v>
      </c>
      <c r="T18" s="11">
        <v>9.3050000000745001</v>
      </c>
      <c r="U18" s="11">
        <v>5.7650000000372499</v>
      </c>
      <c r="V18" s="11">
        <v>2.1199999993667</v>
      </c>
      <c r="W18" s="11">
        <v>3.0750000001862601</v>
      </c>
      <c r="X18" s="11">
        <v>9.25500000026077</v>
      </c>
      <c r="Y18" s="11">
        <v>3.00499999951571</v>
      </c>
      <c r="Z18" s="9">
        <v>573.81999999992502</v>
      </c>
      <c r="AA18" s="9">
        <v>317.46500000003698</v>
      </c>
      <c r="AB18" s="9">
        <v>58.430000000167603</v>
      </c>
      <c r="AC18" s="9">
        <v>61.809999999962699</v>
      </c>
      <c r="AD18" s="9">
        <v>574.54500000011103</v>
      </c>
      <c r="AE18" s="9">
        <v>30.470927034050661</v>
      </c>
      <c r="AF18" s="11">
        <v>0.52999999988824098</v>
      </c>
      <c r="AG18" s="11">
        <v>0.41999999973922902</v>
      </c>
      <c r="AH18" s="11">
        <v>0.125</v>
      </c>
      <c r="AI18" s="11">
        <v>0.159999999962747</v>
      </c>
      <c r="AJ18" s="11">
        <v>0.68999999985098803</v>
      </c>
      <c r="AK18" s="11">
        <v>0.175000000372529</v>
      </c>
      <c r="AL18" s="9">
        <v>6.3800000004470299</v>
      </c>
      <c r="AM18" s="9">
        <v>6.3649999994784503</v>
      </c>
      <c r="AN18" s="9">
        <v>7.2500000007450502</v>
      </c>
      <c r="AO18" s="9">
        <v>8.3600000012665898</v>
      </c>
      <c r="AP18" s="9">
        <v>4.9949999995529604</v>
      </c>
      <c r="AQ18" s="9">
        <v>6.48499999940395</v>
      </c>
      <c r="AR18" s="11">
        <v>69.794999999180405</v>
      </c>
      <c r="AS18" s="11">
        <v>69.9449999999255</v>
      </c>
      <c r="AT18" s="11">
        <v>67.414999999478397</v>
      </c>
      <c r="AU18" s="11">
        <v>65.914999998733407</v>
      </c>
      <c r="AV18" s="11">
        <v>52.254999999701901</v>
      </c>
      <c r="AW18" s="11">
        <v>58.119999999925497</v>
      </c>
      <c r="AX18" s="9">
        <v>4.7600000001490104</v>
      </c>
      <c r="AY18" s="9">
        <v>4.6499999997205999</v>
      </c>
      <c r="AZ18" s="9">
        <v>5.5299999997019702</v>
      </c>
      <c r="BA18" s="9">
        <v>6.2800000000279397</v>
      </c>
      <c r="BB18" s="9">
        <v>4.0599999999627396</v>
      </c>
      <c r="BC18" s="9">
        <v>4.7849999998696102</v>
      </c>
      <c r="BD18" s="11">
        <v>1.25000000002328</v>
      </c>
      <c r="BE18" s="11">
        <v>1.2800000000279299</v>
      </c>
      <c r="BF18" s="11">
        <v>1.6100000000558701</v>
      </c>
      <c r="BG18" s="11">
        <v>1.98499999999767</v>
      </c>
      <c r="BH18" s="11">
        <v>0.82499999997671603</v>
      </c>
      <c r="BI18" s="11">
        <v>1.2850000000325901</v>
      </c>
      <c r="BJ18" s="9">
        <v>33.4150000002235</v>
      </c>
      <c r="BK18" s="9">
        <v>34.444999999552898</v>
      </c>
      <c r="BL18" s="9">
        <v>45.9199999995529</v>
      </c>
      <c r="BM18" s="9">
        <v>0.51499999985098799</v>
      </c>
      <c r="BN18" s="9">
        <v>17.7749999988824</v>
      </c>
      <c r="BO18" s="9">
        <v>0.34500000067055198</v>
      </c>
      <c r="BP18" s="11">
        <v>0.32500000013969799</v>
      </c>
      <c r="BQ18" s="11">
        <v>0.320000000018626</v>
      </c>
      <c r="BR18" s="11">
        <v>0.40999999991618002</v>
      </c>
      <c r="BS18" s="11">
        <v>0.50499999998137302</v>
      </c>
      <c r="BT18" s="11">
        <v>0.205000000074505</v>
      </c>
      <c r="BU18" s="11">
        <v>0.34500000015832399</v>
      </c>
      <c r="BV18" s="9">
        <v>1.9849999999627399</v>
      </c>
      <c r="BW18" s="9">
        <v>2.1349999999627398</v>
      </c>
      <c r="BX18" s="9">
        <v>2.1800000002607698</v>
      </c>
      <c r="BY18" s="9">
        <v>3.0749999994412001</v>
      </c>
      <c r="BZ18" s="9">
        <v>0.85500000007450505</v>
      </c>
      <c r="CA18" s="9">
        <v>1.5050000000745001</v>
      </c>
      <c r="CB18" s="11">
        <v>34.450000000093098</v>
      </c>
      <c r="CC18" s="11">
        <v>34.634999999962702</v>
      </c>
      <c r="CD18" s="11">
        <v>47.125000000093102</v>
      </c>
      <c r="CE18" s="11">
        <v>63.909999999776403</v>
      </c>
      <c r="CF18" s="11">
        <v>17.769999999646</v>
      </c>
      <c r="CG18" s="11">
        <v>35.594999999459802</v>
      </c>
      <c r="CH18" s="9">
        <v>0.134999999590218</v>
      </c>
      <c r="CI18" s="9">
        <v>0.13499999940395299</v>
      </c>
      <c r="CJ18" s="9">
        <v>0.20499999970197599</v>
      </c>
      <c r="CK18" s="9">
        <v>0.12500000037252901</v>
      </c>
      <c r="CL18" s="9">
        <v>6.5000000223517401E-2</v>
      </c>
      <c r="CM18" s="9">
        <v>0.12999999988824101</v>
      </c>
    </row>
    <row r="19" spans="1:91" ht="16.5" thickTop="1" thickBot="1">
      <c r="B19" s="9">
        <v>0.84000000078231096</v>
      </c>
      <c r="C19" s="9">
        <v>0.70999999996274699</v>
      </c>
      <c r="D19" s="9">
        <v>0.804999999888241</v>
      </c>
      <c r="E19" s="9">
        <v>1.0650000000372499</v>
      </c>
      <c r="F19" s="9">
        <v>0.71500000003725295</v>
      </c>
      <c r="G19" s="9">
        <v>0.66500000022351702</v>
      </c>
      <c r="H19" s="11">
        <v>22.115000000130301</v>
      </c>
      <c r="I19" s="11">
        <v>21.960000000149002</v>
      </c>
      <c r="J19" s="11">
        <v>32.620000000018599</v>
      </c>
      <c r="K19" s="11">
        <v>42.370000000204797</v>
      </c>
      <c r="L19" s="11">
        <v>10.054999999795101</v>
      </c>
      <c r="M19" s="11">
        <v>22.6700000000186</v>
      </c>
      <c r="N19" s="9">
        <v>1.00000001490116E-2</v>
      </c>
      <c r="O19" s="9">
        <v>9.9999999627470894E-3</v>
      </c>
      <c r="P19" s="9">
        <v>1.00000001490116E-2</v>
      </c>
      <c r="Q19" s="9">
        <v>4.9999998882412902E-3</v>
      </c>
      <c r="R19" s="9">
        <v>5.0000000745058001E-3</v>
      </c>
      <c r="S19" s="9">
        <v>9.9999997764825804E-3</v>
      </c>
      <c r="T19" s="11">
        <v>8.5449999999254906</v>
      </c>
      <c r="U19" s="11">
        <v>6.0400000000372502</v>
      </c>
      <c r="V19" s="11">
        <v>2.69000000022351</v>
      </c>
      <c r="W19" s="11">
        <v>2.6699999999254902</v>
      </c>
      <c r="X19" s="11">
        <v>8.6099999997764805</v>
      </c>
      <c r="Y19" s="11">
        <v>2.5800000000745</v>
      </c>
      <c r="Z19" s="9">
        <v>575.26499999985003</v>
      </c>
      <c r="AA19" s="9">
        <v>315.79000000003703</v>
      </c>
      <c r="AB19" s="9">
        <v>58.499999999906798</v>
      </c>
      <c r="AC19" s="9">
        <v>62.855000000260702</v>
      </c>
      <c r="AD19" s="9">
        <v>566.38499999986902</v>
      </c>
      <c r="AE19" s="9">
        <v>58.089435052631998</v>
      </c>
      <c r="AF19" s="11">
        <v>0.76499999985098799</v>
      </c>
      <c r="AG19" s="11">
        <v>0.34499999992549402</v>
      </c>
      <c r="AH19" s="11">
        <v>0.24000000040978101</v>
      </c>
      <c r="AI19" s="11">
        <v>9.00000004097819E-2</v>
      </c>
      <c r="AJ19" s="11">
        <v>0.56000000052153998</v>
      </c>
      <c r="AK19" s="11">
        <v>0.179999999888241</v>
      </c>
      <c r="AL19" s="9">
        <v>6.4699999988079</v>
      </c>
      <c r="AM19" s="9">
        <v>6.3649999994784503</v>
      </c>
      <c r="AN19" s="9">
        <v>7.2399999987334001</v>
      </c>
      <c r="AO19" s="9">
        <v>8.4799999993294399</v>
      </c>
      <c r="AP19" s="9">
        <v>5.1550000004470302</v>
      </c>
      <c r="AQ19" s="9">
        <v>6.4799999985843897</v>
      </c>
      <c r="AR19" s="11">
        <v>66.044999999925494</v>
      </c>
      <c r="AS19" s="11">
        <v>71.9300000000745</v>
      </c>
      <c r="AT19" s="11">
        <v>66.720000000298</v>
      </c>
      <c r="AU19" s="11">
        <v>65.224999999999994</v>
      </c>
      <c r="AV19" s="11">
        <v>51.655000000074502</v>
      </c>
      <c r="AW19" s="11">
        <v>59.4199999995529</v>
      </c>
      <c r="AX19" s="9">
        <v>4.7750000000000004</v>
      </c>
      <c r="AY19" s="9">
        <v>4.7100000000558797</v>
      </c>
      <c r="AZ19" s="9">
        <v>5.4849999998696104</v>
      </c>
      <c r="BA19" s="9">
        <v>6.2299999997951003</v>
      </c>
      <c r="BB19" s="9">
        <v>3.73499999977648</v>
      </c>
      <c r="BC19" s="9">
        <v>4.7950000001117496</v>
      </c>
      <c r="BD19" s="11">
        <v>1.22000000006519</v>
      </c>
      <c r="BE19" s="11">
        <v>1.2999999999301499</v>
      </c>
      <c r="BF19" s="11">
        <v>1.62500000002328</v>
      </c>
      <c r="BG19" s="11">
        <v>1.9899999999964999</v>
      </c>
      <c r="BH19" s="11">
        <v>0.79499999998370097</v>
      </c>
      <c r="BI19" s="11">
        <v>1.2749999999767101</v>
      </c>
      <c r="BJ19" s="9">
        <v>33.235000000149</v>
      </c>
      <c r="BK19" s="9">
        <v>34.279999998956903</v>
      </c>
      <c r="BL19" s="9">
        <v>45.895000001043002</v>
      </c>
      <c r="BM19" s="9">
        <v>0.52000000029802296</v>
      </c>
      <c r="BN19" s="9">
        <v>18.2149999998509</v>
      </c>
      <c r="BO19" s="9">
        <v>0.34999999962747003</v>
      </c>
      <c r="BP19" s="11">
        <v>0.32999999988824102</v>
      </c>
      <c r="BQ19" s="11">
        <v>0.33499999996274699</v>
      </c>
      <c r="BR19" s="11">
        <v>0.38999999980442202</v>
      </c>
      <c r="BS19" s="11">
        <v>0.499999999906867</v>
      </c>
      <c r="BT19" s="11">
        <v>0.2</v>
      </c>
      <c r="BU19" s="11">
        <v>0.31500000003725198</v>
      </c>
      <c r="BV19" s="9">
        <v>1.5099999994039499</v>
      </c>
      <c r="BW19" s="9">
        <v>1.20500000044703</v>
      </c>
      <c r="BX19" s="9">
        <v>2.21499999985098</v>
      </c>
      <c r="BY19" s="9">
        <v>2.7149999996647201</v>
      </c>
      <c r="BZ19" s="9">
        <v>1.2050000000745</v>
      </c>
      <c r="CA19" s="9">
        <v>1.94000000022351</v>
      </c>
      <c r="CB19" s="11">
        <v>34.479999999981302</v>
      </c>
      <c r="CC19" s="11">
        <v>34.600000000093097</v>
      </c>
      <c r="CD19" s="11">
        <v>48.1699999995529</v>
      </c>
      <c r="CE19" s="11">
        <v>63.169999999925402</v>
      </c>
      <c r="CF19" s="11">
        <v>17.3849999995902</v>
      </c>
      <c r="CG19" s="11">
        <v>35.944999999832298</v>
      </c>
      <c r="CH19" s="9">
        <v>0.184999999031424</v>
      </c>
      <c r="CI19" s="9">
        <v>8.9999999478459297E-2</v>
      </c>
      <c r="CJ19" s="9">
        <v>9.0000000037252906E-2</v>
      </c>
      <c r="CK19" s="9">
        <v>0.134999999962747</v>
      </c>
      <c r="CL19" s="9">
        <v>0.109999999403953</v>
      </c>
      <c r="CM19" s="9">
        <v>9.9999999627470901E-2</v>
      </c>
    </row>
    <row r="20" spans="1:91" ht="16.5" thickTop="1" thickBot="1">
      <c r="B20" s="9">
        <v>0.72000000029802302</v>
      </c>
      <c r="C20" s="9">
        <v>0.60499999988824105</v>
      </c>
      <c r="D20" s="9">
        <v>0.86500000003725197</v>
      </c>
      <c r="E20" s="9">
        <v>1.22000000029802</v>
      </c>
      <c r="F20" s="9">
        <v>0.36999999973922898</v>
      </c>
      <c r="G20" s="9">
        <v>0.46000000014901099</v>
      </c>
      <c r="H20" s="11">
        <v>21.914999999944101</v>
      </c>
      <c r="I20" s="11">
        <v>21.995000000018599</v>
      </c>
      <c r="J20" s="11">
        <v>32.924999999906802</v>
      </c>
      <c r="K20" s="11">
        <v>44.039999999944101</v>
      </c>
      <c r="L20" s="11">
        <v>10.5599999995902</v>
      </c>
      <c r="M20" s="11">
        <v>22.675000000279301</v>
      </c>
      <c r="N20" s="9">
        <v>4.9999998882412902E-3</v>
      </c>
      <c r="O20" s="9">
        <v>9.9999999627470894E-3</v>
      </c>
      <c r="P20" s="9">
        <v>1.50000000372529E-2</v>
      </c>
      <c r="Q20" s="9">
        <v>2.00000001117587E-2</v>
      </c>
      <c r="R20" s="9">
        <v>0</v>
      </c>
      <c r="S20" s="9">
        <v>4.9999998882412902E-3</v>
      </c>
      <c r="T20" s="11">
        <v>13.085000000149</v>
      </c>
      <c r="U20" s="11">
        <v>6.3350000005215401</v>
      </c>
      <c r="V20" s="11">
        <v>2.10499999951571</v>
      </c>
      <c r="W20" s="11">
        <v>2.8849999995902098</v>
      </c>
      <c r="X20" s="11">
        <v>10.4400000000372</v>
      </c>
      <c r="Y20" s="11">
        <v>2.35000000018626</v>
      </c>
      <c r="Z20" s="9">
        <v>585.86000000024205</v>
      </c>
      <c r="AA20" s="9">
        <v>315.75000000018599</v>
      </c>
      <c r="AB20" s="9">
        <v>58.345000000204799</v>
      </c>
      <c r="AC20" s="9">
        <v>60.470000000018601</v>
      </c>
      <c r="AD20" s="9">
        <v>562.94999999981303</v>
      </c>
      <c r="AE20" s="9">
        <v>60.726875071404997</v>
      </c>
      <c r="AF20" s="11">
        <v>0.61499999985098797</v>
      </c>
      <c r="AG20" s="11">
        <v>0.35499999970197599</v>
      </c>
      <c r="AH20" s="11">
        <v>0.124999999813735</v>
      </c>
      <c r="AI20" s="11">
        <v>0.13000000026076999</v>
      </c>
      <c r="AJ20" s="11">
        <v>0.39499999992549401</v>
      </c>
      <c r="AK20" s="11">
        <v>0.144999999739229</v>
      </c>
      <c r="AL20" s="9">
        <v>6.4300000011920897</v>
      </c>
      <c r="AM20" s="9">
        <v>6.3800000000745003</v>
      </c>
      <c r="AN20" s="9">
        <v>7.2700000002980198</v>
      </c>
      <c r="AO20" s="9">
        <v>8.3650000002235103</v>
      </c>
      <c r="AP20" s="9">
        <v>5.0649999994784496</v>
      </c>
      <c r="AQ20" s="9">
        <v>6.5749999992549402</v>
      </c>
      <c r="AR20" s="11">
        <v>66.334999999403905</v>
      </c>
      <c r="AS20" s="11">
        <v>70.3</v>
      </c>
      <c r="AT20" s="11">
        <v>66.845000000298</v>
      </c>
      <c r="AU20" s="11">
        <v>65.624999999254896</v>
      </c>
      <c r="AV20" s="11">
        <v>51.869999999925497</v>
      </c>
      <c r="AW20" s="11">
        <v>58.229999999701903</v>
      </c>
      <c r="AX20" s="9">
        <v>4.8350000001490097</v>
      </c>
      <c r="AY20" s="9">
        <v>4.7600000000558698</v>
      </c>
      <c r="AZ20" s="9">
        <v>5.4500000000931301</v>
      </c>
      <c r="BA20" s="9">
        <v>6.1799999997950996</v>
      </c>
      <c r="BB20" s="9">
        <v>3.9199999996460901</v>
      </c>
      <c r="BC20" s="9">
        <v>4.7349999999627403</v>
      </c>
      <c r="BD20" s="11">
        <v>1.2899999999906799</v>
      </c>
      <c r="BE20" s="11">
        <v>1.3100000000093099</v>
      </c>
      <c r="BF20" s="11">
        <v>1.6000000000232799</v>
      </c>
      <c r="BG20" s="11">
        <v>1.99999999998835</v>
      </c>
      <c r="BH20" s="11">
        <v>0.80999999999767103</v>
      </c>
      <c r="BI20" s="11">
        <v>1.3000000000116401</v>
      </c>
      <c r="BJ20" s="9">
        <v>33.190000000223499</v>
      </c>
      <c r="BK20" s="9">
        <v>34.6699999995529</v>
      </c>
      <c r="BL20" s="9">
        <v>46.445000000670497</v>
      </c>
      <c r="BM20" s="9">
        <v>0.52000000029802296</v>
      </c>
      <c r="BN20" s="9">
        <v>17.849999998509801</v>
      </c>
      <c r="BO20" s="9">
        <v>0.32500000111758698</v>
      </c>
      <c r="BP20" s="11">
        <v>0.35000000009313198</v>
      </c>
      <c r="BQ20" s="11">
        <v>0.35</v>
      </c>
      <c r="BR20" s="11">
        <v>0.42499999999999999</v>
      </c>
      <c r="BS20" s="11">
        <v>0.49500000015832402</v>
      </c>
      <c r="BT20" s="11">
        <v>0.214999999990686</v>
      </c>
      <c r="BU20" s="11">
        <v>0.32499999995343298</v>
      </c>
      <c r="BV20" s="9">
        <v>1.79499999955296</v>
      </c>
      <c r="BW20" s="9">
        <v>1.27500000018626</v>
      </c>
      <c r="BX20" s="9">
        <v>2.1800000000745001</v>
      </c>
      <c r="BY20" s="9">
        <v>3.1199999997392198</v>
      </c>
      <c r="BZ20" s="9">
        <v>0.73999999985098797</v>
      </c>
      <c r="CA20" s="9">
        <v>2.10999999977648</v>
      </c>
      <c r="CB20" s="11">
        <v>34.575000000093098</v>
      </c>
      <c r="CC20" s="11">
        <v>34.679999999701899</v>
      </c>
      <c r="CD20" s="11">
        <v>47.234999999869601</v>
      </c>
      <c r="CE20" s="11">
        <v>63.184999999962699</v>
      </c>
      <c r="CF20" s="11">
        <v>17.5900000000372</v>
      </c>
      <c r="CG20" s="11">
        <v>36.259999999962702</v>
      </c>
      <c r="CH20" s="9">
        <v>0.144999999739229</v>
      </c>
      <c r="CI20" s="9">
        <v>0.154999999515712</v>
      </c>
      <c r="CJ20" s="9">
        <v>9.5000000298023204E-2</v>
      </c>
      <c r="CK20" s="9">
        <v>0.13999999985098799</v>
      </c>
      <c r="CL20" s="9">
        <v>4.49999997392296E-2</v>
      </c>
      <c r="CM20" s="9">
        <v>0.110000000149011</v>
      </c>
    </row>
    <row r="21" spans="1:91" ht="16.5" thickTop="1" thickBot="1">
      <c r="B21" s="9">
        <v>0.41999999992549403</v>
      </c>
      <c r="C21" s="9">
        <v>0.66500000040978102</v>
      </c>
      <c r="D21" s="9">
        <v>0.83000000044703404</v>
      </c>
      <c r="E21" s="9">
        <v>0.61000000052154002</v>
      </c>
      <c r="F21" s="9">
        <v>0.54499999973922897</v>
      </c>
      <c r="G21" s="9">
        <v>0.61999999973922904</v>
      </c>
      <c r="H21" s="11">
        <v>22.2049999999813</v>
      </c>
      <c r="I21" s="11">
        <v>21.995000000111698</v>
      </c>
      <c r="J21" s="11">
        <v>32.794999999832299</v>
      </c>
      <c r="K21" s="11">
        <v>44.1250000002794</v>
      </c>
      <c r="L21" s="11">
        <v>11.365000000037201</v>
      </c>
      <c r="M21" s="11">
        <v>22.1500000001862</v>
      </c>
      <c r="N21" s="9">
        <v>1.00000001490116E-2</v>
      </c>
      <c r="O21" s="9">
        <v>2.5000000000000001E-2</v>
      </c>
      <c r="P21" s="9">
        <v>1.4999999850988301E-2</v>
      </c>
      <c r="Q21" s="9">
        <v>4.9999998882412902E-3</v>
      </c>
      <c r="R21" s="9">
        <v>5.0000000745058001E-3</v>
      </c>
      <c r="S21" s="9">
        <v>5.0000000745058001E-3</v>
      </c>
      <c r="T21" s="11">
        <v>7.7100000008940697</v>
      </c>
      <c r="U21" s="11">
        <v>7.48999999966472</v>
      </c>
      <c r="V21" s="11">
        <v>2.32000000011175</v>
      </c>
      <c r="W21" s="11">
        <v>3.1699999999254902</v>
      </c>
      <c r="X21" s="11">
        <v>9.3249999998137305</v>
      </c>
      <c r="Y21" s="11">
        <v>2.72500000055879</v>
      </c>
      <c r="Z21" s="9">
        <v>579.79000000003703</v>
      </c>
      <c r="AA21" s="9">
        <v>317.43500000024198</v>
      </c>
      <c r="AB21" s="9">
        <v>58.245000000018599</v>
      </c>
      <c r="AC21" s="9">
        <v>62.270000000484202</v>
      </c>
      <c r="AD21" s="9">
        <v>574.17999999998096</v>
      </c>
      <c r="AE21" s="9">
        <v>39.039700919005341</v>
      </c>
      <c r="AF21" s="11">
        <v>0.78000000026076999</v>
      </c>
      <c r="AG21" s="11">
        <v>0.52500000037252903</v>
      </c>
      <c r="AH21" s="11">
        <v>0.21999999973922901</v>
      </c>
      <c r="AI21" s="11">
        <v>0.119999999925494</v>
      </c>
      <c r="AJ21" s="11">
        <v>0.5</v>
      </c>
      <c r="AK21" s="11">
        <v>0.204999999888241</v>
      </c>
      <c r="AL21" s="9">
        <v>6.5549999997019697</v>
      </c>
      <c r="AM21" s="9">
        <v>6.4499999996274697</v>
      </c>
      <c r="AN21" s="9">
        <v>7.3199999999254901</v>
      </c>
      <c r="AO21" s="9">
        <v>9.0300000000744998</v>
      </c>
      <c r="AP21" s="9">
        <v>4.9499999996274697</v>
      </c>
      <c r="AQ21" s="9">
        <v>6.5099999994039504</v>
      </c>
      <c r="AR21" s="11">
        <v>65.129999999701894</v>
      </c>
      <c r="AS21" s="11">
        <v>70.619999999552903</v>
      </c>
      <c r="AT21" s="11">
        <v>67.849999999254905</v>
      </c>
      <c r="AU21" s="11">
        <v>64.949999999254899</v>
      </c>
      <c r="AV21" s="11">
        <v>52.155000000074502</v>
      </c>
      <c r="AW21" s="11">
        <v>57.714999998360803</v>
      </c>
      <c r="AX21" s="9">
        <v>4.7099999997764801</v>
      </c>
      <c r="AY21" s="9">
        <v>4.6849999999627396</v>
      </c>
      <c r="AZ21" s="9">
        <v>5.4899999997578499</v>
      </c>
      <c r="BA21" s="9">
        <v>6.2600000000558698</v>
      </c>
      <c r="BB21" s="9">
        <v>3.7450000001117498</v>
      </c>
      <c r="BC21" s="9">
        <v>4.8050000000745001</v>
      </c>
      <c r="BD21" s="11">
        <v>1.24999999997671</v>
      </c>
      <c r="BE21" s="11">
        <v>1.2950000000186199</v>
      </c>
      <c r="BF21" s="11">
        <v>1.63000000005122</v>
      </c>
      <c r="BG21" s="11">
        <v>1.97999999998137</v>
      </c>
      <c r="BH21" s="11">
        <v>0.79499999999534299</v>
      </c>
      <c r="BI21" s="11">
        <v>1.28499999999767</v>
      </c>
      <c r="BJ21" s="9">
        <v>33.25</v>
      </c>
      <c r="BK21" s="9">
        <v>34.504999999329399</v>
      </c>
      <c r="BL21" s="9">
        <v>46.8050000000745</v>
      </c>
      <c r="BM21" s="9">
        <v>0.52499999962747101</v>
      </c>
      <c r="BN21" s="9">
        <v>17.755000000447001</v>
      </c>
      <c r="BO21" s="9">
        <v>0.390000000596046</v>
      </c>
      <c r="BP21" s="11">
        <v>0.35499999993480702</v>
      </c>
      <c r="BQ21" s="11">
        <v>0.32499999990686701</v>
      </c>
      <c r="BR21" s="11">
        <v>0.38999999994411999</v>
      </c>
      <c r="BS21" s="11">
        <v>0.46999999987892799</v>
      </c>
      <c r="BT21" s="11">
        <v>0.214999999850988</v>
      </c>
      <c r="BU21" s="11">
        <v>0.35500000002793902</v>
      </c>
      <c r="BV21" s="9">
        <v>1.2100000001490101</v>
      </c>
      <c r="BW21" s="9">
        <v>1.8849999994039499</v>
      </c>
      <c r="BX21" s="9">
        <v>1.85499999988824</v>
      </c>
      <c r="BY21" s="9">
        <v>2.8650000005960399</v>
      </c>
      <c r="BZ21" s="9">
        <v>0.87999999988824096</v>
      </c>
      <c r="CA21" s="9">
        <v>2.2050000002607701</v>
      </c>
      <c r="CB21" s="11">
        <v>34.134999999962702</v>
      </c>
      <c r="CC21" s="11">
        <v>34.579999999981297</v>
      </c>
      <c r="CD21" s="11">
        <v>47.190000000130297</v>
      </c>
      <c r="CE21" s="11">
        <v>63.194999999832298</v>
      </c>
      <c r="CF21" s="11">
        <v>17.5499999998137</v>
      </c>
      <c r="CG21" s="11">
        <v>35.755000000167598</v>
      </c>
      <c r="CH21" s="9">
        <v>0.16500000003725199</v>
      </c>
      <c r="CI21" s="9">
        <v>0.159999999962747</v>
      </c>
      <c r="CJ21" s="9">
        <v>0.15999999959021799</v>
      </c>
      <c r="CK21" s="9">
        <v>0.124999999813735</v>
      </c>
      <c r="CL21" s="9">
        <v>7.4999999813735396E-2</v>
      </c>
      <c r="CM21" s="9">
        <v>0.10499999988824101</v>
      </c>
    </row>
    <row r="22" spans="1:91" ht="16.5" thickTop="1" thickBot="1">
      <c r="B22" s="9">
        <v>0.68499999977648196</v>
      </c>
      <c r="C22" s="9">
        <v>0.73500000014901101</v>
      </c>
      <c r="D22" s="9">
        <v>0.55999999959021796</v>
      </c>
      <c r="E22" s="9">
        <v>1.2000000005587901</v>
      </c>
      <c r="F22" s="9">
        <v>0.35999999996274701</v>
      </c>
      <c r="G22" s="9">
        <v>0.81499999966472303</v>
      </c>
      <c r="H22" s="11">
        <v>22.235000000242099</v>
      </c>
      <c r="I22" s="11">
        <v>22.130000000074499</v>
      </c>
      <c r="J22" s="11">
        <v>32.289999999944101</v>
      </c>
      <c r="K22" s="11">
        <v>42.105000000074497</v>
      </c>
      <c r="L22" s="11">
        <v>10.4300000000745</v>
      </c>
      <c r="M22" s="11">
        <v>22.890000000037201</v>
      </c>
      <c r="N22" s="9">
        <v>1.4999999850988301E-2</v>
      </c>
      <c r="O22" s="9">
        <v>1.00000001490116E-2</v>
      </c>
      <c r="P22" s="9">
        <v>9.9999997764825804E-3</v>
      </c>
      <c r="Q22" s="9">
        <v>0</v>
      </c>
      <c r="R22" s="9">
        <v>9.9999999627470894E-3</v>
      </c>
      <c r="S22" s="9">
        <v>1.4999999850988301E-2</v>
      </c>
      <c r="T22" s="11">
        <v>8.9600000001490105</v>
      </c>
      <c r="U22" s="11">
        <v>5.8249999994412001</v>
      </c>
      <c r="V22" s="11">
        <v>2.9849999999627399</v>
      </c>
      <c r="W22" s="11">
        <v>2.6099999999627399</v>
      </c>
      <c r="X22" s="11">
        <v>8.7299999997019704</v>
      </c>
      <c r="Y22" s="11">
        <v>2.1949999995529601</v>
      </c>
      <c r="Z22" s="9">
        <v>573.255000000167</v>
      </c>
      <c r="AA22" s="9">
        <v>323.16000000005499</v>
      </c>
      <c r="AB22" s="9">
        <v>60.6</v>
      </c>
      <c r="AC22" s="9">
        <v>61.7799999999813</v>
      </c>
      <c r="AD22" s="9">
        <v>561.89999999990596</v>
      </c>
      <c r="AE22" s="9">
        <v>65.671637552593012</v>
      </c>
      <c r="AF22" s="11">
        <v>0.56499999966472303</v>
      </c>
      <c r="AG22" s="11">
        <v>0.37000000029802299</v>
      </c>
      <c r="AH22" s="11">
        <v>0.21999999955296501</v>
      </c>
      <c r="AI22" s="11">
        <v>0.125</v>
      </c>
      <c r="AJ22" s="11">
        <v>0.84999999981373497</v>
      </c>
      <c r="AK22" s="11">
        <v>0.19999999981373501</v>
      </c>
      <c r="AL22" s="9">
        <v>6.2950000002980202</v>
      </c>
      <c r="AM22" s="9">
        <v>6.3950000002980198</v>
      </c>
      <c r="AN22" s="9">
        <v>7.23500000014901</v>
      </c>
      <c r="AO22" s="9">
        <v>8.6600000001490098</v>
      </c>
      <c r="AP22" s="9">
        <v>5.0000000014901103</v>
      </c>
      <c r="AQ22" s="9">
        <v>6.5550000000745001</v>
      </c>
      <c r="AR22" s="11">
        <v>65.900000001117505</v>
      </c>
      <c r="AS22" s="11">
        <v>69.980000001564605</v>
      </c>
      <c r="AT22" s="11">
        <v>66.909999999776403</v>
      </c>
      <c r="AU22" s="11">
        <v>66.835000001639102</v>
      </c>
      <c r="AV22" s="11">
        <v>54.85</v>
      </c>
      <c r="AW22" s="11">
        <v>57.969999999552897</v>
      </c>
      <c r="AX22" s="9">
        <v>4.7549999998882404</v>
      </c>
      <c r="AY22" s="9">
        <v>4.6850000001490102</v>
      </c>
      <c r="AZ22" s="9">
        <v>5.5449999998323598</v>
      </c>
      <c r="BA22" s="9">
        <v>6.1749999999999998</v>
      </c>
      <c r="BB22" s="9">
        <v>3.6599999999627402</v>
      </c>
      <c r="BC22" s="9">
        <v>4.8049999995157098</v>
      </c>
      <c r="BD22" s="11">
        <v>1.29000000003725</v>
      </c>
      <c r="BE22" s="11">
        <v>1.3350000000093101</v>
      </c>
      <c r="BF22" s="11">
        <v>1.6250000000698399</v>
      </c>
      <c r="BG22" s="11">
        <v>1.9750000000000001</v>
      </c>
      <c r="BH22" s="11">
        <v>0.77500000002328295</v>
      </c>
      <c r="BI22" s="11">
        <v>1.28499999999767</v>
      </c>
      <c r="BJ22" s="9">
        <v>33.150000000745003</v>
      </c>
      <c r="BK22" s="9">
        <v>35.325000000000003</v>
      </c>
      <c r="BL22" s="9">
        <v>46.05</v>
      </c>
      <c r="BM22" s="9">
        <v>0.52000000029802296</v>
      </c>
      <c r="BN22" s="9">
        <v>17.775000000744999</v>
      </c>
      <c r="BO22" s="9">
        <v>0.36000000014901101</v>
      </c>
      <c r="BP22" s="11">
        <v>0.33500000014901099</v>
      </c>
      <c r="BQ22" s="11">
        <v>0.330000000027939</v>
      </c>
      <c r="BR22" s="11">
        <v>0.420000000065192</v>
      </c>
      <c r="BS22" s="11">
        <v>0.47999999993480702</v>
      </c>
      <c r="BT22" s="11">
        <v>0.20000000013969799</v>
      </c>
      <c r="BU22" s="11">
        <v>0.35499999993480702</v>
      </c>
      <c r="BV22" s="9">
        <v>1.75500000026077</v>
      </c>
      <c r="BW22" s="9">
        <v>1.75999999996274</v>
      </c>
      <c r="BX22" s="9">
        <v>2.5850000001490101</v>
      </c>
      <c r="BY22" s="9">
        <v>2.8649999998509799</v>
      </c>
      <c r="BZ22" s="9">
        <v>1.27500000018626</v>
      </c>
      <c r="CA22" s="9">
        <v>1.7450000004842801</v>
      </c>
      <c r="CB22" s="11">
        <v>34.329999999981297</v>
      </c>
      <c r="CC22" s="11">
        <v>34.899999999906797</v>
      </c>
      <c r="CD22" s="11">
        <v>47.184999999962699</v>
      </c>
      <c r="CE22" s="11">
        <v>63.6599999999627</v>
      </c>
      <c r="CF22" s="11">
        <v>18.240000000130301</v>
      </c>
      <c r="CG22" s="11">
        <v>35.865000000223503</v>
      </c>
      <c r="CH22" s="9">
        <v>9.9999999813735405E-2</v>
      </c>
      <c r="CI22" s="9">
        <v>0.10999999996274699</v>
      </c>
      <c r="CJ22" s="9">
        <v>0.18000000007450501</v>
      </c>
      <c r="CK22" s="9">
        <v>0.119999999925494</v>
      </c>
      <c r="CL22" s="9">
        <v>5.5000000074505798E-2</v>
      </c>
      <c r="CM22" s="9">
        <v>9.5000000484287694E-2</v>
      </c>
    </row>
    <row r="23" spans="1:91" ht="13.5" thickTop="1">
      <c r="A23" s="15" t="s">
        <v>30</v>
      </c>
      <c r="B23">
        <f>AVERAGE(B4:B22)</f>
        <v>0.67921052638833412</v>
      </c>
      <c r="C23">
        <f t="shared" ref="C23:BN23" si="0">AVERAGE(C4:C22)</f>
        <v>0.67105263166717755</v>
      </c>
      <c r="D23">
        <f t="shared" si="0"/>
        <v>0.81368421050474726</v>
      </c>
      <c r="E23">
        <f t="shared" si="0"/>
        <v>1.0284210527511768</v>
      </c>
      <c r="F23">
        <f t="shared" si="0"/>
        <v>0.47131578942858821</v>
      </c>
      <c r="G23">
        <f t="shared" si="0"/>
        <v>0.73921052637068774</v>
      </c>
      <c r="H23">
        <f t="shared" si="0"/>
        <v>22.217105263113726</v>
      </c>
      <c r="I23">
        <f t="shared" si="0"/>
        <v>22.031842105281736</v>
      </c>
      <c r="J23">
        <f t="shared" si="0"/>
        <v>33.077894736845984</v>
      </c>
      <c r="K23">
        <f t="shared" si="0"/>
        <v>43.190263157930964</v>
      </c>
      <c r="L23">
        <f t="shared" si="0"/>
        <v>10.589210526326546</v>
      </c>
      <c r="M23">
        <f t="shared" si="0"/>
        <v>22.825526315802172</v>
      </c>
      <c r="N23">
        <f t="shared" si="0"/>
        <v>1.0789473697935268E-2</v>
      </c>
      <c r="O23">
        <f t="shared" si="0"/>
        <v>8.6842105478832504E-3</v>
      </c>
      <c r="P23">
        <f t="shared" si="0"/>
        <v>9.9999999921572685E-3</v>
      </c>
      <c r="Q23">
        <f t="shared" si="0"/>
        <v>1.0526315809080464E-2</v>
      </c>
      <c r="R23">
        <f t="shared" si="0"/>
        <v>7.6315789924640276E-3</v>
      </c>
      <c r="S23">
        <f t="shared" si="0"/>
        <v>7.8947368224984629E-3</v>
      </c>
      <c r="T23">
        <f t="shared" si="0"/>
        <v>9.0394736842203258</v>
      </c>
      <c r="U23">
        <f t="shared" si="0"/>
        <v>6.1273684209408685</v>
      </c>
      <c r="V23">
        <f t="shared" si="0"/>
        <v>2.7607894735606826</v>
      </c>
      <c r="W23">
        <f t="shared" si="0"/>
        <v>2.8552631578947318</v>
      </c>
      <c r="X23">
        <f t="shared" si="0"/>
        <v>9.4697368420464318</v>
      </c>
      <c r="Y23">
        <f t="shared" si="0"/>
        <v>2.5231578948270283</v>
      </c>
      <c r="Z23">
        <f t="shared" si="0"/>
        <v>583.02973684211656</v>
      </c>
      <c r="AA23">
        <f t="shared" si="0"/>
        <v>318.73999999999279</v>
      </c>
      <c r="AB23">
        <f t="shared" si="0"/>
        <v>59.668421052626627</v>
      </c>
      <c r="AC23">
        <f t="shared" si="0"/>
        <v>61.975263158011352</v>
      </c>
      <c r="AD23">
        <f t="shared" si="0"/>
        <v>568.47868421045325</v>
      </c>
      <c r="AE23">
        <f t="shared" si="0"/>
        <v>47.827389519874771</v>
      </c>
      <c r="AF23">
        <f t="shared" si="0"/>
        <v>0.63421052647264342</v>
      </c>
      <c r="AG23">
        <f t="shared" si="0"/>
        <v>0.41631578945211628</v>
      </c>
      <c r="AH23">
        <f t="shared" si="0"/>
        <v>0.19263157885717663</v>
      </c>
      <c r="AI23">
        <f t="shared" si="0"/>
        <v>0.1505263159149568</v>
      </c>
      <c r="AJ23">
        <f t="shared" si="0"/>
        <v>0.59999999995098263</v>
      </c>
      <c r="AK23">
        <f t="shared" si="0"/>
        <v>0.16447368431836321</v>
      </c>
      <c r="AL23">
        <f t="shared" si="0"/>
        <v>6.3776315787709015</v>
      </c>
      <c r="AM23">
        <f t="shared" si="0"/>
        <v>6.44394736825243</v>
      </c>
      <c r="AN23">
        <f t="shared" si="0"/>
        <v>7.3171052630990694</v>
      </c>
      <c r="AO23">
        <f t="shared" si="0"/>
        <v>8.5397368421876063</v>
      </c>
      <c r="AP23">
        <f t="shared" si="0"/>
        <v>5.0397368419915383</v>
      </c>
      <c r="AQ23">
        <f t="shared" si="0"/>
        <v>6.7531578946074333</v>
      </c>
      <c r="AR23">
        <f t="shared" si="0"/>
        <v>66.075526315522765</v>
      </c>
      <c r="AS23">
        <f t="shared" si="0"/>
        <v>69.986578947482101</v>
      </c>
      <c r="AT23">
        <f t="shared" si="0"/>
        <v>63.353157894823056</v>
      </c>
      <c r="AU23">
        <f t="shared" si="0"/>
        <v>65.565263157828042</v>
      </c>
      <c r="AV23">
        <f t="shared" si="0"/>
        <v>51.462368421119265</v>
      </c>
      <c r="AW23">
        <f t="shared" si="0"/>
        <v>58.270526315663957</v>
      </c>
      <c r="AX23">
        <f t="shared" si="0"/>
        <v>4.7560526316691369</v>
      </c>
      <c r="AY23">
        <f t="shared" si="0"/>
        <v>4.6899999999637227</v>
      </c>
      <c r="AZ23">
        <f t="shared" si="0"/>
        <v>5.4902631578427741</v>
      </c>
      <c r="BA23">
        <f t="shared" si="0"/>
        <v>6.2178947368318065</v>
      </c>
      <c r="BB23">
        <f t="shared" si="0"/>
        <v>3.7681578948015386</v>
      </c>
      <c r="BC23">
        <f t="shared" si="0"/>
        <v>4.7849999999333308</v>
      </c>
      <c r="BD23">
        <f t="shared" si="0"/>
        <v>1.2750000000122501</v>
      </c>
      <c r="BE23">
        <f t="shared" si="0"/>
        <v>1.3297368420974163</v>
      </c>
      <c r="BF23">
        <f t="shared" si="0"/>
        <v>1.672894736867711</v>
      </c>
      <c r="BG23">
        <f t="shared" si="0"/>
        <v>2.0063157894705239</v>
      </c>
      <c r="BH23">
        <f t="shared" si="0"/>
        <v>0.81447368420746213</v>
      </c>
      <c r="BI23">
        <f t="shared" si="0"/>
        <v>1.2826315789526324</v>
      </c>
      <c r="BJ23">
        <f t="shared" si="0"/>
        <v>33.542368420919253</v>
      </c>
      <c r="BK23">
        <f t="shared" si="0"/>
        <v>34.75710526302845</v>
      </c>
      <c r="BL23">
        <f t="shared" si="0"/>
        <v>46.515526315981568</v>
      </c>
      <c r="BM23">
        <f t="shared" si="0"/>
        <v>0.52736842098988956</v>
      </c>
      <c r="BN23">
        <f t="shared" si="0"/>
        <v>17.911578947286021</v>
      </c>
      <c r="BO23">
        <f t="shared" ref="BO23:CM23" si="1">AVERAGE(BO4:BO22)</f>
        <v>0.3521052632480855</v>
      </c>
      <c r="BP23">
        <f t="shared" si="1"/>
        <v>0.33263157895325013</v>
      </c>
      <c r="BQ23">
        <f t="shared" si="1"/>
        <v>0.32763157890325262</v>
      </c>
      <c r="BR23">
        <f t="shared" si="1"/>
        <v>0.40894736841958157</v>
      </c>
      <c r="BS23">
        <f t="shared" si="1"/>
        <v>0.49500000001617511</v>
      </c>
      <c r="BT23">
        <f t="shared" si="1"/>
        <v>0.20315789472752846</v>
      </c>
      <c r="BU23">
        <f t="shared" si="1"/>
        <v>0.33894736846957901</v>
      </c>
      <c r="BV23">
        <f t="shared" si="1"/>
        <v>1.6797368419895793</v>
      </c>
      <c r="BW23">
        <f t="shared" si="1"/>
        <v>1.7336842104792543</v>
      </c>
      <c r="BX23">
        <f t="shared" si="1"/>
        <v>2.1194736841379767</v>
      </c>
      <c r="BY23">
        <f t="shared" si="1"/>
        <v>2.7707894735822487</v>
      </c>
      <c r="BZ23">
        <f t="shared" si="1"/>
        <v>1.0900000000372498</v>
      </c>
      <c r="CA23">
        <f t="shared" si="1"/>
        <v>1.8457894737391063</v>
      </c>
      <c r="CB23">
        <f t="shared" si="1"/>
        <v>34.055526315866857</v>
      </c>
      <c r="CC23">
        <f t="shared" si="1"/>
        <v>34.462105263151955</v>
      </c>
      <c r="CD23">
        <f t="shared" si="1"/>
        <v>47.512105263147077</v>
      </c>
      <c r="CE23">
        <f t="shared" si="1"/>
        <v>63.339736842035599</v>
      </c>
      <c r="CF23">
        <f t="shared" si="1"/>
        <v>17.480526315778633</v>
      </c>
      <c r="CG23">
        <f t="shared" si="1"/>
        <v>35.651578947357592</v>
      </c>
      <c r="CH23">
        <f t="shared" si="1"/>
        <v>0.1207894735038277</v>
      </c>
      <c r="CI23">
        <f t="shared" si="1"/>
        <v>0.11342105263550011</v>
      </c>
      <c r="CJ23">
        <f t="shared" si="1"/>
        <v>0.1497368420817346</v>
      </c>
      <c r="CK23">
        <f t="shared" si="1"/>
        <v>0.17973684217584723</v>
      </c>
      <c r="CL23">
        <f t="shared" si="1"/>
        <v>7.499999999019652E-2</v>
      </c>
      <c r="CM23">
        <f t="shared" si="1"/>
        <v>0.11999999996470745</v>
      </c>
    </row>
    <row r="24" spans="1:91">
      <c r="A24" s="15" t="s">
        <v>16</v>
      </c>
      <c r="B24">
        <f>MEDIAN(B4:B22)</f>
        <v>0.69500000048428701</v>
      </c>
      <c r="C24">
        <f t="shared" ref="C24:BN24" si="2">MEDIAN(C4:C22)</f>
        <v>0.70499999988824102</v>
      </c>
      <c r="D24">
        <f t="shared" si="2"/>
        <v>0.83000000044703404</v>
      </c>
      <c r="E24">
        <f t="shared" si="2"/>
        <v>1.0450000004842801</v>
      </c>
      <c r="F24">
        <f t="shared" si="2"/>
        <v>0.49499999992549398</v>
      </c>
      <c r="G24">
        <f t="shared" si="2"/>
        <v>0.73500000014901101</v>
      </c>
      <c r="H24">
        <f t="shared" si="2"/>
        <v>22.089999999664698</v>
      </c>
      <c r="I24">
        <f t="shared" si="2"/>
        <v>21.995000000018599</v>
      </c>
      <c r="J24">
        <f t="shared" si="2"/>
        <v>32.880000000074503</v>
      </c>
      <c r="K24">
        <f t="shared" si="2"/>
        <v>43.379999999795103</v>
      </c>
      <c r="L24">
        <f t="shared" si="2"/>
        <v>10.4999999999068</v>
      </c>
      <c r="M24">
        <f t="shared" si="2"/>
        <v>22.675000000279301</v>
      </c>
      <c r="N24">
        <f t="shared" si="2"/>
        <v>9.9999999627470894E-3</v>
      </c>
      <c r="O24">
        <f t="shared" si="2"/>
        <v>9.9999999627470894E-3</v>
      </c>
      <c r="P24">
        <f t="shared" si="2"/>
        <v>9.9999999627470894E-3</v>
      </c>
      <c r="Q24">
        <f t="shared" si="2"/>
        <v>9.9999999627470894E-3</v>
      </c>
      <c r="R24">
        <f t="shared" si="2"/>
        <v>5.0000000745058001E-3</v>
      </c>
      <c r="S24">
        <f t="shared" si="2"/>
        <v>5.0000000745058001E-3</v>
      </c>
      <c r="T24">
        <f t="shared" si="2"/>
        <v>8.9600000001490105</v>
      </c>
      <c r="U24">
        <f t="shared" si="2"/>
        <v>6.0400000000372502</v>
      </c>
      <c r="V24">
        <f t="shared" si="2"/>
        <v>2.8249999998137301</v>
      </c>
      <c r="W24">
        <f t="shared" si="2"/>
        <v>2.8550000002607701</v>
      </c>
      <c r="X24">
        <f t="shared" si="2"/>
        <v>9.3249999998137305</v>
      </c>
      <c r="Y24">
        <f t="shared" si="2"/>
        <v>2.4000000003725201</v>
      </c>
      <c r="Z24">
        <f t="shared" si="2"/>
        <v>579.79000000003703</v>
      </c>
      <c r="AA24">
        <f t="shared" si="2"/>
        <v>317.46500000003698</v>
      </c>
      <c r="AB24">
        <f t="shared" si="2"/>
        <v>59.124999999906798</v>
      </c>
      <c r="AC24">
        <f t="shared" si="2"/>
        <v>62.109999999962703</v>
      </c>
      <c r="AD24">
        <f t="shared" si="2"/>
        <v>564.76999999992495</v>
      </c>
      <c r="AE24">
        <f t="shared" si="2"/>
        <v>52.228714683814943</v>
      </c>
      <c r="AF24">
        <f t="shared" si="2"/>
        <v>0.61499999985098797</v>
      </c>
      <c r="AG24">
        <f t="shared" si="2"/>
        <v>0.410000000149011</v>
      </c>
      <c r="AH24">
        <f t="shared" si="2"/>
        <v>0.19000000040978099</v>
      </c>
      <c r="AI24">
        <f t="shared" si="2"/>
        <v>0.13000000026076999</v>
      </c>
      <c r="AJ24">
        <f t="shared" si="2"/>
        <v>0.56000000052153998</v>
      </c>
      <c r="AK24">
        <f t="shared" si="2"/>
        <v>0.15500000026076999</v>
      </c>
      <c r="AL24">
        <f t="shared" si="2"/>
        <v>6.3549999985843897</v>
      </c>
      <c r="AM24">
        <f t="shared" si="2"/>
        <v>6.4199999991804297</v>
      </c>
      <c r="AN24">
        <f t="shared" si="2"/>
        <v>7.2800000008195598</v>
      </c>
      <c r="AO24">
        <f t="shared" si="2"/>
        <v>8.4550000004470292</v>
      </c>
      <c r="AP24">
        <f t="shared" si="2"/>
        <v>5.0200000002980198</v>
      </c>
      <c r="AQ24">
        <f t="shared" si="2"/>
        <v>6.5749999996274697</v>
      </c>
      <c r="AR24">
        <f t="shared" si="2"/>
        <v>65.710000000148995</v>
      </c>
      <c r="AS24">
        <f t="shared" si="2"/>
        <v>69.9449999999255</v>
      </c>
      <c r="AT24">
        <f t="shared" si="2"/>
        <v>64.780000000447004</v>
      </c>
      <c r="AU24">
        <f t="shared" si="2"/>
        <v>65.45</v>
      </c>
      <c r="AV24">
        <f t="shared" si="2"/>
        <v>51.360000000893997</v>
      </c>
      <c r="AW24">
        <f t="shared" si="2"/>
        <v>58.155000000074502</v>
      </c>
      <c r="AX24">
        <f t="shared" si="2"/>
        <v>4.75500000026077</v>
      </c>
      <c r="AY24">
        <f t="shared" si="2"/>
        <v>4.6849999999627396</v>
      </c>
      <c r="AZ24">
        <f t="shared" si="2"/>
        <v>5.4899999997578499</v>
      </c>
      <c r="BA24">
        <f t="shared" si="2"/>
        <v>6.2100000000093099</v>
      </c>
      <c r="BB24">
        <f t="shared" si="2"/>
        <v>3.7100000000558699</v>
      </c>
      <c r="BC24">
        <f t="shared" si="2"/>
        <v>4.7950000000186197</v>
      </c>
      <c r="BD24">
        <f t="shared" si="2"/>
        <v>1.2800000000745</v>
      </c>
      <c r="BE24">
        <f t="shared" si="2"/>
        <v>1.3300000000046499</v>
      </c>
      <c r="BF24">
        <f t="shared" si="2"/>
        <v>1.6300000000745001</v>
      </c>
      <c r="BG24">
        <f t="shared" si="2"/>
        <v>1.99999999998835</v>
      </c>
      <c r="BH24">
        <f t="shared" si="2"/>
        <v>0.80999999999767103</v>
      </c>
      <c r="BI24">
        <f t="shared" si="2"/>
        <v>1.28499999999767</v>
      </c>
      <c r="BJ24">
        <f t="shared" si="2"/>
        <v>33.380000000074503</v>
      </c>
      <c r="BK24">
        <f t="shared" si="2"/>
        <v>34.784999999776403</v>
      </c>
      <c r="BL24">
        <f t="shared" si="2"/>
        <v>45.985000000893997</v>
      </c>
      <c r="BM24">
        <f t="shared" si="2"/>
        <v>0.52499999962747101</v>
      </c>
      <c r="BN24">
        <f t="shared" si="2"/>
        <v>17.775000000744999</v>
      </c>
      <c r="BO24">
        <f t="shared" ref="BO24:CM24" si="3">MEDIAN(BO4:BO22)</f>
        <v>0.355000000074505</v>
      </c>
      <c r="BP24">
        <f t="shared" si="3"/>
        <v>0.33500000000931301</v>
      </c>
      <c r="BQ24">
        <f t="shared" si="3"/>
        <v>0.32499999995343298</v>
      </c>
      <c r="BR24">
        <f t="shared" si="3"/>
        <v>0.41500000003725201</v>
      </c>
      <c r="BS24">
        <f t="shared" si="3"/>
        <v>0.49500000015832402</v>
      </c>
      <c r="BT24">
        <f t="shared" si="3"/>
        <v>0.204999999934807</v>
      </c>
      <c r="BU24">
        <f t="shared" si="3"/>
        <v>0.340000000037252</v>
      </c>
      <c r="BV24">
        <f t="shared" si="3"/>
        <v>1.75500000026077</v>
      </c>
      <c r="BW24">
        <f t="shared" si="3"/>
        <v>1.7699999995529601</v>
      </c>
      <c r="BX24">
        <f t="shared" si="3"/>
        <v>2.1649999998509801</v>
      </c>
      <c r="BY24">
        <f t="shared" si="3"/>
        <v>2.8099999999627401</v>
      </c>
      <c r="BZ24">
        <f t="shared" si="3"/>
        <v>1.0999999996274701</v>
      </c>
      <c r="CA24">
        <f t="shared" si="3"/>
        <v>1.8700000002980199</v>
      </c>
      <c r="CB24">
        <f t="shared" si="3"/>
        <v>34.165000000130298</v>
      </c>
      <c r="CC24">
        <f t="shared" si="3"/>
        <v>34.365000000130301</v>
      </c>
      <c r="CD24">
        <f t="shared" si="3"/>
        <v>47.260000000055797</v>
      </c>
      <c r="CE24">
        <f t="shared" si="3"/>
        <v>63.309999999869603</v>
      </c>
      <c r="CF24">
        <f t="shared" si="3"/>
        <v>17.5499999998137</v>
      </c>
      <c r="CG24">
        <f t="shared" si="3"/>
        <v>35.594999999459802</v>
      </c>
      <c r="CH24">
        <f t="shared" si="3"/>
        <v>0.105000000074505</v>
      </c>
      <c r="CI24">
        <f t="shared" si="3"/>
        <v>0.10999999996274699</v>
      </c>
      <c r="CJ24">
        <f t="shared" si="3"/>
        <v>0.15999999959021799</v>
      </c>
      <c r="CK24">
        <f t="shared" si="3"/>
        <v>0.160000000335276</v>
      </c>
      <c r="CL24">
        <f t="shared" si="3"/>
        <v>7.5000000186264501E-2</v>
      </c>
      <c r="CM24">
        <f t="shared" si="3"/>
        <v>0.110000000149011</v>
      </c>
    </row>
    <row r="25" spans="1:91">
      <c r="A25" s="15" t="s">
        <v>31</v>
      </c>
      <c r="B25">
        <f>MIN(B4:B22)</f>
        <v>0.41999999992549403</v>
      </c>
      <c r="C25">
        <f t="shared" ref="C25:BN25" si="4">MIN(C4:C22)</f>
        <v>0.36499999985098802</v>
      </c>
      <c r="D25">
        <f t="shared" si="4"/>
        <v>0.54999999981373504</v>
      </c>
      <c r="E25">
        <f t="shared" si="4"/>
        <v>0.61000000052154002</v>
      </c>
      <c r="F25">
        <f t="shared" si="4"/>
        <v>0.29500000011175798</v>
      </c>
      <c r="G25">
        <f t="shared" si="4"/>
        <v>0.36500000003725203</v>
      </c>
      <c r="H25">
        <f t="shared" si="4"/>
        <v>21.0400000000372</v>
      </c>
      <c r="I25">
        <f t="shared" si="4"/>
        <v>21.7600000000558</v>
      </c>
      <c r="J25">
        <f t="shared" si="4"/>
        <v>32.289999999944101</v>
      </c>
      <c r="K25">
        <f t="shared" si="4"/>
        <v>42.0649999996647</v>
      </c>
      <c r="L25">
        <f t="shared" si="4"/>
        <v>9.9749999999068599</v>
      </c>
      <c r="M25">
        <f t="shared" si="4"/>
        <v>21.650000000093101</v>
      </c>
      <c r="N25">
        <f t="shared" si="4"/>
        <v>0</v>
      </c>
      <c r="O25">
        <f t="shared" si="4"/>
        <v>0</v>
      </c>
      <c r="P25">
        <f t="shared" si="4"/>
        <v>0</v>
      </c>
      <c r="Q25">
        <f t="shared" si="4"/>
        <v>0</v>
      </c>
      <c r="R25">
        <f t="shared" si="4"/>
        <v>0</v>
      </c>
      <c r="S25">
        <f t="shared" si="4"/>
        <v>0</v>
      </c>
      <c r="T25">
        <f t="shared" si="4"/>
        <v>7.7100000008940697</v>
      </c>
      <c r="U25">
        <f t="shared" si="4"/>
        <v>5.2849999997764803</v>
      </c>
      <c r="V25">
        <f t="shared" si="4"/>
        <v>2.0149999998509802</v>
      </c>
      <c r="W25">
        <f t="shared" si="4"/>
        <v>2.3100000007078001</v>
      </c>
      <c r="X25">
        <f t="shared" si="4"/>
        <v>8.33499999996274</v>
      </c>
      <c r="Y25">
        <f t="shared" si="4"/>
        <v>2.1600000005215398</v>
      </c>
      <c r="Z25">
        <f t="shared" si="4"/>
        <v>573.255000000167</v>
      </c>
      <c r="AA25">
        <f t="shared" si="4"/>
        <v>315.69499999983202</v>
      </c>
      <c r="AB25">
        <f t="shared" si="4"/>
        <v>58.2</v>
      </c>
      <c r="AC25">
        <f t="shared" si="4"/>
        <v>60.295000000111699</v>
      </c>
      <c r="AD25">
        <f t="shared" si="4"/>
        <v>557.67499999981305</v>
      </c>
      <c r="AE25">
        <f t="shared" si="4"/>
        <v>26.649263720556405</v>
      </c>
      <c r="AF25">
        <f t="shared" si="4"/>
        <v>0.44000000040978099</v>
      </c>
      <c r="AG25">
        <f t="shared" si="4"/>
        <v>0.31000000033527603</v>
      </c>
      <c r="AH25">
        <f t="shared" si="4"/>
        <v>0.124999999813735</v>
      </c>
      <c r="AI25">
        <f t="shared" si="4"/>
        <v>9.0000000223517396E-2</v>
      </c>
      <c r="AJ25">
        <f t="shared" si="4"/>
        <v>0.39499999992549401</v>
      </c>
      <c r="AK25">
        <f t="shared" si="4"/>
        <v>0.10999999921768901</v>
      </c>
      <c r="AL25">
        <f t="shared" si="4"/>
        <v>6.2950000002980202</v>
      </c>
      <c r="AM25">
        <f t="shared" si="4"/>
        <v>6.3649999994784503</v>
      </c>
      <c r="AN25">
        <f t="shared" si="4"/>
        <v>7.1199999991804299</v>
      </c>
      <c r="AO25">
        <f t="shared" si="4"/>
        <v>8.2949999995529602</v>
      </c>
      <c r="AP25">
        <f t="shared" si="4"/>
        <v>4.9499999996274697</v>
      </c>
      <c r="AQ25">
        <f t="shared" si="4"/>
        <v>6.4799999985843897</v>
      </c>
      <c r="AR25">
        <f t="shared" si="4"/>
        <v>64.845000000670495</v>
      </c>
      <c r="AS25">
        <f t="shared" si="4"/>
        <v>69.159999999403894</v>
      </c>
      <c r="AT25">
        <f t="shared" si="4"/>
        <v>58.545000001043</v>
      </c>
      <c r="AU25">
        <f t="shared" si="4"/>
        <v>64.949999999254899</v>
      </c>
      <c r="AV25">
        <f t="shared" si="4"/>
        <v>50.065000000968503</v>
      </c>
      <c r="AW25">
        <f t="shared" si="4"/>
        <v>57.714999998360803</v>
      </c>
      <c r="AX25">
        <f t="shared" si="4"/>
        <v>4.6850000001490102</v>
      </c>
      <c r="AY25">
        <f t="shared" si="4"/>
        <v>4.6249999997206004</v>
      </c>
      <c r="AZ25">
        <f t="shared" si="4"/>
        <v>5.4200000003911502</v>
      </c>
      <c r="BA25">
        <f t="shared" si="4"/>
        <v>6.1449999999720601</v>
      </c>
      <c r="BB25">
        <f t="shared" si="4"/>
        <v>3.6300000001676298</v>
      </c>
      <c r="BC25">
        <f t="shared" si="4"/>
        <v>4.7300000001676299</v>
      </c>
      <c r="BD25">
        <f t="shared" si="4"/>
        <v>1.2049999999813701</v>
      </c>
      <c r="BE25">
        <f t="shared" si="4"/>
        <v>1.2800000000279299</v>
      </c>
      <c r="BF25">
        <f t="shared" si="4"/>
        <v>1.5800000000046499</v>
      </c>
      <c r="BG25">
        <f t="shared" si="4"/>
        <v>1.93000000001047</v>
      </c>
      <c r="BH25">
        <f t="shared" si="4"/>
        <v>0.77500000002328295</v>
      </c>
      <c r="BI25">
        <f t="shared" si="4"/>
        <v>1.23500000000931</v>
      </c>
      <c r="BJ25">
        <f t="shared" si="4"/>
        <v>33.150000000745003</v>
      </c>
      <c r="BK25">
        <f t="shared" si="4"/>
        <v>34.279999998956903</v>
      </c>
      <c r="BL25">
        <f t="shared" si="4"/>
        <v>45.610000000149</v>
      </c>
      <c r="BM25">
        <f t="shared" si="4"/>
        <v>0.51000000014901103</v>
      </c>
      <c r="BN25">
        <f t="shared" si="4"/>
        <v>17.470000000298</v>
      </c>
      <c r="BO25">
        <f t="shared" ref="BO25:CM25" si="5">MIN(BO4:BO22)</f>
        <v>0.32499999962747</v>
      </c>
      <c r="BP25">
        <f t="shared" si="5"/>
        <v>0.29499999997206</v>
      </c>
      <c r="BQ25">
        <f t="shared" si="5"/>
        <v>0.30999999986961402</v>
      </c>
      <c r="BR25">
        <f t="shared" si="5"/>
        <v>0.38000000012107099</v>
      </c>
      <c r="BS25">
        <f t="shared" si="5"/>
        <v>0.46999999987892799</v>
      </c>
      <c r="BT25">
        <f t="shared" si="5"/>
        <v>0.18500000005587899</v>
      </c>
      <c r="BU25">
        <f t="shared" si="5"/>
        <v>0.30500000007450501</v>
      </c>
      <c r="BV25">
        <f t="shared" si="5"/>
        <v>1.1600000001490101</v>
      </c>
      <c r="BW25">
        <f t="shared" si="5"/>
        <v>1.20500000044703</v>
      </c>
      <c r="BX25">
        <f t="shared" si="5"/>
        <v>1.5850000001490101</v>
      </c>
      <c r="BY25">
        <f t="shared" si="5"/>
        <v>2.2849999994039498</v>
      </c>
      <c r="BZ25">
        <f t="shared" si="5"/>
        <v>0.73999999985098797</v>
      </c>
      <c r="CA25">
        <f t="shared" si="5"/>
        <v>1.41500000003725</v>
      </c>
      <c r="CB25">
        <f t="shared" si="5"/>
        <v>32.985000000335198</v>
      </c>
      <c r="CC25">
        <f t="shared" si="5"/>
        <v>34.160000000148997</v>
      </c>
      <c r="CD25">
        <f t="shared" si="5"/>
        <v>47.125000000093102</v>
      </c>
      <c r="CE25">
        <f t="shared" si="5"/>
        <v>61.669999999925402</v>
      </c>
      <c r="CF25">
        <f t="shared" si="5"/>
        <v>16.670000000204801</v>
      </c>
      <c r="CG25">
        <f t="shared" si="5"/>
        <v>34.550000000186202</v>
      </c>
      <c r="CH25">
        <f t="shared" si="5"/>
        <v>8.5000000149011601E-2</v>
      </c>
      <c r="CI25">
        <f t="shared" si="5"/>
        <v>7.5000000558793495E-2</v>
      </c>
      <c r="CJ25">
        <f t="shared" si="5"/>
        <v>9.0000000037252906E-2</v>
      </c>
      <c r="CK25">
        <f t="shared" si="5"/>
        <v>0.110000000335276</v>
      </c>
      <c r="CL25">
        <f t="shared" si="5"/>
        <v>2.9999999888241199E-2</v>
      </c>
      <c r="CM25">
        <f t="shared" si="5"/>
        <v>7.4999999813735396E-2</v>
      </c>
    </row>
    <row r="26" spans="1:91">
      <c r="A26" s="15" t="s">
        <v>32</v>
      </c>
      <c r="B26">
        <f>MAX(B4:B22)</f>
        <v>0.86000000033527602</v>
      </c>
      <c r="C26">
        <f>MAX(C4:C22)</f>
        <v>0.83500000033527599</v>
      </c>
      <c r="D26">
        <f t="shared" ref="D26:BN26" si="6">MAX(D4:D22)</f>
        <v>1.02999999970197</v>
      </c>
      <c r="E26">
        <f t="shared" si="6"/>
        <v>1.22000000029802</v>
      </c>
      <c r="F26">
        <f t="shared" si="6"/>
        <v>0.71500000003725295</v>
      </c>
      <c r="G26">
        <f t="shared" si="6"/>
        <v>1.1900000004097799</v>
      </c>
      <c r="H26">
        <f t="shared" si="6"/>
        <v>23.8149999996647</v>
      </c>
      <c r="I26">
        <f t="shared" si="6"/>
        <v>23.234999999869601</v>
      </c>
      <c r="J26">
        <f t="shared" si="6"/>
        <v>34.600000000093097</v>
      </c>
      <c r="K26">
        <f t="shared" si="6"/>
        <v>44.785000000148997</v>
      </c>
      <c r="L26">
        <f t="shared" si="6"/>
        <v>11.630000000074499</v>
      </c>
      <c r="M26">
        <f t="shared" si="6"/>
        <v>24.505000000074499</v>
      </c>
      <c r="N26">
        <f t="shared" si="6"/>
        <v>2.00000002980232E-2</v>
      </c>
      <c r="O26">
        <f t="shared" si="6"/>
        <v>2.5000000000000001E-2</v>
      </c>
      <c r="P26">
        <f t="shared" si="6"/>
        <v>2.00000001117587E-2</v>
      </c>
      <c r="Q26">
        <f t="shared" si="6"/>
        <v>2.9999999888241199E-2</v>
      </c>
      <c r="R26">
        <f t="shared" si="6"/>
        <v>1.50000002235174E-2</v>
      </c>
      <c r="S26">
        <f t="shared" si="6"/>
        <v>1.50000000372529E-2</v>
      </c>
      <c r="T26">
        <f t="shared" si="6"/>
        <v>13.085000000149</v>
      </c>
      <c r="U26">
        <f t="shared" si="6"/>
        <v>7.48999999966472</v>
      </c>
      <c r="V26">
        <f t="shared" si="6"/>
        <v>3.84499999955296</v>
      </c>
      <c r="W26">
        <f t="shared" si="6"/>
        <v>3.6500000001862598</v>
      </c>
      <c r="X26">
        <f t="shared" si="6"/>
        <v>10.7400000002235</v>
      </c>
      <c r="Y26">
        <f t="shared" si="6"/>
        <v>3.1550000000745002</v>
      </c>
      <c r="Z26">
        <f t="shared" si="6"/>
        <v>603.18499999977598</v>
      </c>
      <c r="AA26">
        <f t="shared" si="6"/>
        <v>324.79500000001798</v>
      </c>
      <c r="AB26">
        <f t="shared" si="6"/>
        <v>63.154999999608798</v>
      </c>
      <c r="AC26">
        <f t="shared" si="6"/>
        <v>63.780000000353901</v>
      </c>
      <c r="AD26">
        <f t="shared" si="6"/>
        <v>595.62000000011096</v>
      </c>
      <c r="AE26">
        <f t="shared" si="6"/>
        <v>65.671637552593012</v>
      </c>
      <c r="AF26">
        <f t="shared" si="6"/>
        <v>0.78000000026076999</v>
      </c>
      <c r="AG26">
        <f t="shared" si="6"/>
        <v>0.54500000029802298</v>
      </c>
      <c r="AH26">
        <f t="shared" si="6"/>
        <v>0.27499999981373502</v>
      </c>
      <c r="AI26">
        <f t="shared" si="6"/>
        <v>0.31999999992549399</v>
      </c>
      <c r="AJ26">
        <f t="shared" si="6"/>
        <v>0.84999999981373497</v>
      </c>
      <c r="AK26">
        <f t="shared" si="6"/>
        <v>0.25000000055879301</v>
      </c>
      <c r="AL26">
        <f t="shared" si="6"/>
        <v>6.5549999997019697</v>
      </c>
      <c r="AM26">
        <f t="shared" si="6"/>
        <v>6.7800000008195598</v>
      </c>
      <c r="AN26">
        <f t="shared" si="6"/>
        <v>7.6000000007450499</v>
      </c>
      <c r="AO26">
        <f t="shared" si="6"/>
        <v>9.5050000011920908</v>
      </c>
      <c r="AP26">
        <f t="shared" si="6"/>
        <v>5.1550000004470302</v>
      </c>
      <c r="AQ26">
        <f t="shared" si="6"/>
        <v>9.13999999910593</v>
      </c>
      <c r="AR26">
        <f t="shared" si="6"/>
        <v>69.794999999180405</v>
      </c>
      <c r="AS26">
        <f t="shared" si="6"/>
        <v>71.9300000000745</v>
      </c>
      <c r="AT26">
        <f t="shared" si="6"/>
        <v>67.849999999254905</v>
      </c>
      <c r="AU26">
        <f t="shared" si="6"/>
        <v>66.835000001639102</v>
      </c>
      <c r="AV26">
        <f t="shared" si="6"/>
        <v>54.85</v>
      </c>
      <c r="AW26">
        <f t="shared" si="6"/>
        <v>59.4199999995529</v>
      </c>
      <c r="AX26">
        <f t="shared" si="6"/>
        <v>4.8350000001490097</v>
      </c>
      <c r="AY26">
        <f t="shared" si="6"/>
        <v>4.7600000000558698</v>
      </c>
      <c r="AZ26">
        <f t="shared" si="6"/>
        <v>5.5650000000372497</v>
      </c>
      <c r="BA26">
        <f t="shared" si="6"/>
        <v>6.3050000000745001</v>
      </c>
      <c r="BB26">
        <f t="shared" si="6"/>
        <v>4.0599999999627396</v>
      </c>
      <c r="BC26">
        <f t="shared" si="6"/>
        <v>4.8749999999068603</v>
      </c>
      <c r="BD26">
        <f t="shared" si="6"/>
        <v>1.35499999998137</v>
      </c>
      <c r="BE26">
        <f t="shared" si="6"/>
        <v>1.38000000000465</v>
      </c>
      <c r="BF26">
        <f t="shared" si="6"/>
        <v>1.89500000003026</v>
      </c>
      <c r="BG26">
        <f t="shared" si="6"/>
        <v>2.11000000000349</v>
      </c>
      <c r="BH26">
        <f t="shared" si="6"/>
        <v>0.87500000001164102</v>
      </c>
      <c r="BI26">
        <f t="shared" si="6"/>
        <v>1.3249999999883499</v>
      </c>
      <c r="BJ26">
        <f t="shared" si="6"/>
        <v>36.439999999850897</v>
      </c>
      <c r="BK26">
        <f t="shared" si="6"/>
        <v>35.325000000000003</v>
      </c>
      <c r="BL26">
        <f t="shared" si="6"/>
        <v>50.560000000894</v>
      </c>
      <c r="BM26">
        <f t="shared" si="6"/>
        <v>0.56999999992549399</v>
      </c>
      <c r="BN26">
        <f t="shared" si="6"/>
        <v>18.9199999995529</v>
      </c>
      <c r="BO26">
        <f t="shared" ref="BO26:CM26" si="7">MAX(BO4:BO22)</f>
        <v>0.390000000596046</v>
      </c>
      <c r="BP26">
        <f t="shared" si="7"/>
        <v>0.36500000003725203</v>
      </c>
      <c r="BQ26">
        <f t="shared" si="7"/>
        <v>0.35499999988824099</v>
      </c>
      <c r="BR26">
        <f t="shared" si="7"/>
        <v>0.43500000010244499</v>
      </c>
      <c r="BS26">
        <f t="shared" si="7"/>
        <v>0.52000000006519198</v>
      </c>
      <c r="BT26">
        <f t="shared" si="7"/>
        <v>0.21999999992549399</v>
      </c>
      <c r="BU26">
        <f t="shared" si="7"/>
        <v>0.36999999992549398</v>
      </c>
      <c r="BV26">
        <f t="shared" si="7"/>
        <v>2.0699999999254901</v>
      </c>
      <c r="BW26">
        <f t="shared" si="7"/>
        <v>2.1349999999627398</v>
      </c>
      <c r="BX26">
        <f t="shared" si="7"/>
        <v>2.5850000001490101</v>
      </c>
      <c r="BY26">
        <f t="shared" si="7"/>
        <v>3.2349999999627399</v>
      </c>
      <c r="BZ26">
        <f t="shared" si="7"/>
        <v>1.3799999997019701</v>
      </c>
      <c r="CA26">
        <f t="shared" si="7"/>
        <v>2.2099999997764801</v>
      </c>
      <c r="CB26">
        <f t="shared" si="7"/>
        <v>35.085000000242097</v>
      </c>
      <c r="CC26">
        <f t="shared" si="7"/>
        <v>35.315000000223499</v>
      </c>
      <c r="CD26">
        <f t="shared" si="7"/>
        <v>49.289999999944101</v>
      </c>
      <c r="CE26">
        <f t="shared" si="7"/>
        <v>64.845000000111696</v>
      </c>
      <c r="CF26">
        <f t="shared" si="7"/>
        <v>18.240000000130301</v>
      </c>
      <c r="CG26">
        <f t="shared" si="7"/>
        <v>37.760000000242101</v>
      </c>
      <c r="CH26">
        <f t="shared" si="7"/>
        <v>0.184999999031424</v>
      </c>
      <c r="CI26">
        <f t="shared" si="7"/>
        <v>0.159999999962747</v>
      </c>
      <c r="CJ26">
        <f t="shared" si="7"/>
        <v>0.20499999970197599</v>
      </c>
      <c r="CK26">
        <f t="shared" si="7"/>
        <v>0.390000000596046</v>
      </c>
      <c r="CL26">
        <f t="shared" si="7"/>
        <v>0.125000000186264</v>
      </c>
      <c r="CM26">
        <f t="shared" si="7"/>
        <v>0.199999999441206</v>
      </c>
    </row>
    <row r="27" spans="1:91">
      <c r="A27" s="16" t="s">
        <v>14</v>
      </c>
    </row>
    <row r="28" spans="1:91">
      <c r="A28">
        <f>MIN(B25:CM25)</f>
        <v>0</v>
      </c>
    </row>
    <row r="29" spans="1:91">
      <c r="A29" s="17" t="s">
        <v>33</v>
      </c>
    </row>
    <row r="30" spans="1:91">
      <c r="A30">
        <f>MAX(B26:CM26)</f>
        <v>603.18499999977598</v>
      </c>
    </row>
  </sheetData>
  <mergeCells count="20">
    <mergeCell ref="B1:S1"/>
    <mergeCell ref="B2:G2"/>
    <mergeCell ref="H2:M2"/>
    <mergeCell ref="N2:S2"/>
    <mergeCell ref="T1:AK1"/>
    <mergeCell ref="T2:Y2"/>
    <mergeCell ref="Z2:AE2"/>
    <mergeCell ref="AF2:AK2"/>
    <mergeCell ref="BV1:CM1"/>
    <mergeCell ref="BV2:CA2"/>
    <mergeCell ref="CB2:CG2"/>
    <mergeCell ref="CH2:CM2"/>
    <mergeCell ref="AL1:BC1"/>
    <mergeCell ref="AL2:AQ2"/>
    <mergeCell ref="AR2:AW2"/>
    <mergeCell ref="AX2:BC2"/>
    <mergeCell ref="BD1:BU1"/>
    <mergeCell ref="BD2:BI2"/>
    <mergeCell ref="BJ2:BO2"/>
    <mergeCell ref="BP2:BU2"/>
  </mergeCells>
  <conditionalFormatting sqref="B23:CM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4:CM2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8148B-A50E-46E5-AD9E-1B63FB1EE270}">
  <dimension ref="A1:S29"/>
  <sheetViews>
    <sheetView workbookViewId="0">
      <selection activeCell="O2" sqref="O2:R9"/>
    </sheetView>
  </sheetViews>
  <sheetFormatPr defaultRowHeight="12.75"/>
  <cols>
    <col min="2" max="2" width="17" customWidth="1"/>
    <col min="3" max="3" width="13.7109375" bestFit="1" customWidth="1"/>
    <col min="4" max="4" width="21.140625" bestFit="1" customWidth="1"/>
    <col min="5" max="7" width="13.7109375" bestFit="1" customWidth="1"/>
    <col min="8" max="8" width="12.42578125" bestFit="1" customWidth="1"/>
    <col min="9" max="9" width="9.5703125" bestFit="1" customWidth="1"/>
    <col min="10" max="10" width="21.140625" bestFit="1" customWidth="1"/>
    <col min="11" max="12" width="9.5703125" bestFit="1" customWidth="1"/>
    <col min="13" max="13" width="13.28515625" bestFit="1" customWidth="1"/>
    <col min="15" max="16" width="31" customWidth="1"/>
    <col min="18" max="18" width="17.28515625" bestFit="1" customWidth="1"/>
  </cols>
  <sheetData>
    <row r="1" spans="2:18">
      <c r="B1" t="s">
        <v>44</v>
      </c>
    </row>
    <row r="2" spans="2:18" ht="15.75" thickBot="1">
      <c r="B2" s="26" t="s">
        <v>1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  <c r="O2" t="s">
        <v>49</v>
      </c>
      <c r="P2" t="s">
        <v>45</v>
      </c>
      <c r="Q2" t="s">
        <v>46</v>
      </c>
      <c r="R2" t="s">
        <v>48</v>
      </c>
    </row>
    <row r="3" spans="2:18" ht="16.5" thickTop="1" thickBot="1">
      <c r="B3" s="21" t="s">
        <v>7</v>
      </c>
      <c r="C3" s="21"/>
      <c r="D3" s="21"/>
      <c r="E3" s="21"/>
      <c r="F3" s="21"/>
      <c r="G3" s="21"/>
      <c r="H3" s="20" t="s">
        <v>6</v>
      </c>
      <c r="I3" s="20"/>
      <c r="J3" s="20"/>
      <c r="K3" s="20"/>
      <c r="L3" s="20"/>
      <c r="M3" s="20"/>
      <c r="O3" s="11" t="s">
        <v>11</v>
      </c>
      <c r="P3" s="19">
        <f>F26</f>
        <v>1.2486666663487702</v>
      </c>
      <c r="Q3" s="19">
        <f>K26</f>
        <v>17.472666666855364</v>
      </c>
      <c r="R3">
        <f>100 *P3/Q3</f>
        <v>7.1464000896750264</v>
      </c>
    </row>
    <row r="4" spans="2:18" ht="16.5" thickTop="1" thickBot="1">
      <c r="B4" s="11" t="s">
        <v>9</v>
      </c>
      <c r="C4" s="11" t="s">
        <v>10</v>
      </c>
      <c r="D4" s="11" t="s">
        <v>8</v>
      </c>
      <c r="E4" s="11" t="s">
        <v>13</v>
      </c>
      <c r="F4" s="11" t="s">
        <v>11</v>
      </c>
      <c r="G4" s="11" t="s">
        <v>12</v>
      </c>
      <c r="H4" s="9" t="s">
        <v>9</v>
      </c>
      <c r="I4" s="9" t="s">
        <v>13</v>
      </c>
      <c r="J4" s="9" t="s">
        <v>8</v>
      </c>
      <c r="K4" s="9" t="s">
        <v>11</v>
      </c>
      <c r="L4" s="9" t="s">
        <v>10</v>
      </c>
      <c r="M4" s="9" t="s">
        <v>12</v>
      </c>
      <c r="O4" s="11" t="s">
        <v>10</v>
      </c>
      <c r="P4" s="19">
        <f>C26</f>
        <v>0.86349999994039484</v>
      </c>
      <c r="Q4" s="19">
        <f>L26</f>
        <v>13.502333333343216</v>
      </c>
      <c r="R4">
        <f t="shared" ref="R4:R9" si="0">100 *P4/Q4</f>
        <v>6.3951909542036889</v>
      </c>
    </row>
    <row r="5" spans="2:18" ht="16.5" thickTop="1" thickBot="1">
      <c r="B5" s="11">
        <v>0.90666666626930204</v>
      </c>
      <c r="C5" s="11">
        <v>0.76666666666666605</v>
      </c>
      <c r="D5" s="11">
        <v>0.81333333353201498</v>
      </c>
      <c r="E5" s="11">
        <v>0.64666666686534802</v>
      </c>
      <c r="F5" s="11">
        <v>1.57333333094914</v>
      </c>
      <c r="G5" s="11">
        <v>0.75999999940395302</v>
      </c>
      <c r="H5" s="10">
        <v>15.236666666467899</v>
      </c>
      <c r="I5" s="10">
        <v>10.55</v>
      </c>
      <c r="J5" s="10">
        <v>13.316666666666601</v>
      </c>
      <c r="K5" s="10">
        <v>17.326666667064</v>
      </c>
      <c r="L5" s="10">
        <v>13.3466666668653</v>
      </c>
      <c r="M5" s="10">
        <v>13.31666666766</v>
      </c>
      <c r="O5" s="11" t="s">
        <v>13</v>
      </c>
      <c r="P5" s="19">
        <f>E26</f>
        <v>0.71799999987085572</v>
      </c>
      <c r="Q5" s="19">
        <f>I26</f>
        <v>10.580833333382946</v>
      </c>
      <c r="R5">
        <f t="shared" si="0"/>
        <v>6.7858549251081897</v>
      </c>
    </row>
    <row r="6" spans="2:18" ht="16.5" thickTop="1" thickBot="1">
      <c r="B6" s="11">
        <v>0.96999999980131701</v>
      </c>
      <c r="C6" s="11">
        <v>0.85</v>
      </c>
      <c r="D6" s="11">
        <v>0.74666666686534799</v>
      </c>
      <c r="E6" s="11">
        <v>0.70999999940395297</v>
      </c>
      <c r="F6" s="11">
        <v>1.12333333293596</v>
      </c>
      <c r="G6" s="11">
        <v>0.82666666706403003</v>
      </c>
      <c r="H6" s="10">
        <v>15.2533333331346</v>
      </c>
      <c r="I6" s="10">
        <v>10.436666667461299</v>
      </c>
      <c r="J6" s="10">
        <v>13.5600000003973</v>
      </c>
      <c r="K6" s="10">
        <v>17.186666667461299</v>
      </c>
      <c r="L6" s="10">
        <v>13.316666666666601</v>
      </c>
      <c r="M6" s="10">
        <v>13.3966666668653</v>
      </c>
      <c r="O6" s="11" t="s">
        <v>9</v>
      </c>
      <c r="P6" s="19">
        <f>B26</f>
        <v>0.95683333332339815</v>
      </c>
      <c r="Q6" s="19">
        <f>H26</f>
        <v>15.370333333263739</v>
      </c>
      <c r="R6">
        <f t="shared" si="0"/>
        <v>6.2251957233267365</v>
      </c>
    </row>
    <row r="7" spans="2:18" ht="16.5" thickTop="1" thickBot="1">
      <c r="B7" s="11">
        <v>0.98000000019868205</v>
      </c>
      <c r="C7" s="11">
        <v>0.85333333313465098</v>
      </c>
      <c r="D7" s="11">
        <v>0.75333333313465101</v>
      </c>
      <c r="E7" s="11">
        <v>0.63333333333333297</v>
      </c>
      <c r="F7" s="11">
        <v>1.0266666660706201</v>
      </c>
      <c r="G7" s="11">
        <v>0.80666666626930195</v>
      </c>
      <c r="H7" s="10">
        <v>15.2233333329359</v>
      </c>
      <c r="I7" s="10">
        <v>10.476666667064</v>
      </c>
      <c r="J7" s="10">
        <v>13.126666667064001</v>
      </c>
      <c r="K7" s="10">
        <v>17.459999999403902</v>
      </c>
      <c r="L7" s="10">
        <v>13.303333333134599</v>
      </c>
      <c r="M7" s="10">
        <v>13.393333331743801</v>
      </c>
      <c r="O7" s="11" t="s">
        <v>12</v>
      </c>
      <c r="P7" s="19">
        <f>G26</f>
        <v>0.84550000006953785</v>
      </c>
      <c r="Q7" s="19">
        <f>M26</f>
        <v>13.596333333253815</v>
      </c>
      <c r="R7">
        <f t="shared" si="0"/>
        <v>6.2185883454447231</v>
      </c>
    </row>
    <row r="8" spans="2:18" ht="16.5" thickTop="1" thickBot="1">
      <c r="B8" s="11">
        <v>0.82333333392937902</v>
      </c>
      <c r="C8" s="11">
        <v>0.95333333412806198</v>
      </c>
      <c r="D8" s="11">
        <v>1.0266666670640301</v>
      </c>
      <c r="E8" s="11">
        <v>0.68333333233992199</v>
      </c>
      <c r="F8" s="11">
        <v>1.1366666664679801</v>
      </c>
      <c r="G8" s="11">
        <v>0.85333333412806101</v>
      </c>
      <c r="H8" s="10">
        <v>15.233333333333301</v>
      </c>
      <c r="I8" s="10">
        <v>11.186666667461299</v>
      </c>
      <c r="J8" s="10">
        <v>13.259999999403901</v>
      </c>
      <c r="K8" s="10">
        <v>17.156666666269299</v>
      </c>
      <c r="L8" s="10">
        <v>15.093333332737201</v>
      </c>
      <c r="M8" s="10">
        <v>13.3399999996026</v>
      </c>
      <c r="O8" s="11" t="s">
        <v>8</v>
      </c>
      <c r="P8" s="19">
        <f>D26</f>
        <v>0.83266666665673195</v>
      </c>
      <c r="Q8" s="19">
        <f>J26</f>
        <v>13.668666666646752</v>
      </c>
      <c r="R8">
        <f t="shared" si="0"/>
        <v>6.0917914450905606</v>
      </c>
    </row>
    <row r="9" spans="2:18" ht="16.5" thickTop="1" thickBot="1">
      <c r="B9" s="11">
        <v>0.84666666686534797</v>
      </c>
      <c r="C9" s="11">
        <v>0.90666666626930204</v>
      </c>
      <c r="D9" s="11">
        <v>0.98666666646798395</v>
      </c>
      <c r="E9" s="11">
        <v>0.926666667064031</v>
      </c>
      <c r="F9" s="11">
        <v>1.1366666664679801</v>
      </c>
      <c r="G9" s="11">
        <v>0.74333333373069699</v>
      </c>
      <c r="H9" s="10">
        <v>15.2800000001986</v>
      </c>
      <c r="I9" s="10">
        <v>10.4366666664679</v>
      </c>
      <c r="J9" s="10">
        <v>13.170000000794699</v>
      </c>
      <c r="K9" s="10">
        <v>17.813333333532</v>
      </c>
      <c r="L9" s="10">
        <v>13.2899999996026</v>
      </c>
      <c r="M9" s="10">
        <v>13.3466666668653</v>
      </c>
      <c r="O9" s="18" t="s">
        <v>47</v>
      </c>
      <c r="P9" s="19">
        <f>AVERAGE(P3:P8)</f>
        <v>0.91086111103494816</v>
      </c>
      <c r="Q9" s="19">
        <f>AVERAGE(Q3:Q8)</f>
        <v>14.031861111124305</v>
      </c>
      <c r="R9">
        <f t="shared" si="0"/>
        <v>6.4913777568167879</v>
      </c>
    </row>
    <row r="10" spans="2:18" ht="16.5" thickTop="1" thickBot="1">
      <c r="B10" s="11">
        <v>0.95999999940395297</v>
      </c>
      <c r="C10" s="11">
        <v>0.78999999960263501</v>
      </c>
      <c r="D10" s="11">
        <v>0.81999999980131699</v>
      </c>
      <c r="E10" s="11">
        <v>0.85</v>
      </c>
      <c r="F10" s="11">
        <v>1.18333333233992</v>
      </c>
      <c r="G10" s="11">
        <v>0.75</v>
      </c>
      <c r="H10" s="10">
        <v>15.2933333327372</v>
      </c>
      <c r="I10" s="10">
        <v>10.4666666656732</v>
      </c>
      <c r="J10" s="10">
        <v>13.1200000007947</v>
      </c>
      <c r="K10" s="10">
        <v>17.153333334128</v>
      </c>
      <c r="L10" s="10">
        <v>13.380000000198599</v>
      </c>
      <c r="M10" s="10">
        <v>13.3100000003973</v>
      </c>
    </row>
    <row r="11" spans="2:18" ht="16.5" thickTop="1" thickBot="1">
      <c r="B11" s="11">
        <v>0.88000000019868196</v>
      </c>
      <c r="C11" s="11">
        <v>0.85666666726271301</v>
      </c>
      <c r="D11" s="11">
        <v>0.71666666666666601</v>
      </c>
      <c r="E11" s="11">
        <v>0.62333333392937895</v>
      </c>
      <c r="F11" s="11">
        <v>1.0566666662693001</v>
      </c>
      <c r="G11" s="11">
        <v>0.83666666746139495</v>
      </c>
      <c r="H11" s="10">
        <v>15.2133333345254</v>
      </c>
      <c r="I11" s="10">
        <v>10.523333333929299</v>
      </c>
      <c r="J11" s="10">
        <v>13.283333333333299</v>
      </c>
      <c r="K11" s="10">
        <v>17.203333334128001</v>
      </c>
      <c r="L11" s="10">
        <v>13.3066666672627</v>
      </c>
      <c r="M11" s="10">
        <v>14.053333333134599</v>
      </c>
    </row>
    <row r="12" spans="2:18" ht="16.5" thickTop="1" thickBot="1">
      <c r="B12" s="11">
        <v>0.93999999960263503</v>
      </c>
      <c r="C12" s="11">
        <v>0.91333333353201496</v>
      </c>
      <c r="D12" s="11">
        <v>0.79000000059604603</v>
      </c>
      <c r="E12" s="11">
        <v>0.60333333412806101</v>
      </c>
      <c r="F12" s="11">
        <v>1.2466666668653399</v>
      </c>
      <c r="G12" s="11">
        <v>0.86000000039736402</v>
      </c>
      <c r="H12" s="10">
        <v>15.2833333323399</v>
      </c>
      <c r="I12" s="10">
        <v>10.440000000595999</v>
      </c>
      <c r="J12" s="10">
        <v>14.673333332935901</v>
      </c>
      <c r="K12" s="10">
        <v>17.903333333134601</v>
      </c>
      <c r="L12" s="10">
        <v>13.3533333331346</v>
      </c>
      <c r="M12" s="10">
        <v>14.2733333329359</v>
      </c>
    </row>
    <row r="13" spans="2:18" ht="16.5" thickTop="1" thickBot="1">
      <c r="B13" s="11">
        <v>0.90333333412806105</v>
      </c>
      <c r="C13" s="11">
        <v>1.2</v>
      </c>
      <c r="D13" s="11">
        <v>0.85666666726271301</v>
      </c>
      <c r="E13" s="11">
        <v>0.84333333174387604</v>
      </c>
      <c r="F13" s="11">
        <v>1.03000000019868</v>
      </c>
      <c r="G13" s="11">
        <v>0.98000000019868205</v>
      </c>
      <c r="H13" s="10">
        <v>15.303333333134599</v>
      </c>
      <c r="I13" s="10">
        <v>10.5233333329359</v>
      </c>
      <c r="J13" s="10">
        <v>14.0833333333333</v>
      </c>
      <c r="K13" s="10">
        <v>17.380000000198599</v>
      </c>
      <c r="L13" s="10">
        <v>14.336666666467901</v>
      </c>
      <c r="M13" s="10">
        <v>13.319999999801301</v>
      </c>
    </row>
    <row r="14" spans="2:18" ht="16.5" thickTop="1" thickBot="1">
      <c r="B14" s="11">
        <v>1.05999999940395</v>
      </c>
      <c r="C14" s="11">
        <v>0.83666666646798404</v>
      </c>
      <c r="D14" s="11">
        <v>0.823333332935969</v>
      </c>
      <c r="E14" s="11">
        <v>0.70333333313465096</v>
      </c>
      <c r="F14" s="11">
        <v>2.7399999996026301</v>
      </c>
      <c r="G14" s="11">
        <v>1.18999999960263</v>
      </c>
      <c r="H14" s="10">
        <v>15.219999999801299</v>
      </c>
      <c r="I14" s="10">
        <v>10.5233333329359</v>
      </c>
      <c r="J14" s="10">
        <v>13.323333332935899</v>
      </c>
      <c r="K14" s="10">
        <v>17.260000000397302</v>
      </c>
      <c r="L14" s="10">
        <v>13.2733333329359</v>
      </c>
      <c r="M14" s="10">
        <v>13.6</v>
      </c>
    </row>
    <row r="15" spans="2:18" ht="16.5" thickTop="1" thickBot="1">
      <c r="B15" s="11">
        <v>0.91333333353201496</v>
      </c>
      <c r="C15" s="11">
        <v>0.81999999980131699</v>
      </c>
      <c r="D15" s="11">
        <v>0.93000000019868201</v>
      </c>
      <c r="E15" s="11">
        <v>1.17000000079472</v>
      </c>
      <c r="F15" s="11">
        <v>1.3333333333333299</v>
      </c>
      <c r="G15" s="11">
        <v>0.82666666706403003</v>
      </c>
      <c r="H15" s="10">
        <v>15.340000000596</v>
      </c>
      <c r="I15" s="10">
        <v>10.480000000198601</v>
      </c>
      <c r="J15" s="10">
        <v>13.216666666666599</v>
      </c>
      <c r="K15" s="10">
        <v>17.293333332737198</v>
      </c>
      <c r="L15" s="10">
        <v>13.273333333929299</v>
      </c>
      <c r="M15" s="10">
        <v>13.7066666662693</v>
      </c>
    </row>
    <row r="16" spans="2:18" ht="16.5" thickTop="1" thickBot="1">
      <c r="B16" s="11">
        <v>1.0066666662693</v>
      </c>
      <c r="C16" s="11">
        <v>0.91666666666666596</v>
      </c>
      <c r="D16" s="11">
        <v>0.81999999980131699</v>
      </c>
      <c r="E16" s="11">
        <v>0.63000000019868196</v>
      </c>
      <c r="F16" s="11">
        <v>1.2966666668653399</v>
      </c>
      <c r="G16" s="11">
        <v>1.35999999940395</v>
      </c>
      <c r="H16" s="10">
        <v>15.389999999602599</v>
      </c>
      <c r="I16" s="10">
        <v>10.6699999998013</v>
      </c>
      <c r="J16" s="10">
        <v>13.096666665871901</v>
      </c>
      <c r="K16" s="10">
        <v>17.736666666467901</v>
      </c>
      <c r="L16" s="10">
        <v>13.316666666666601</v>
      </c>
      <c r="M16" s="10">
        <v>13.3099999994039</v>
      </c>
    </row>
    <row r="17" spans="1:19" ht="16.5" thickTop="1" thickBot="1">
      <c r="B17" s="11">
        <v>0.85666666626930199</v>
      </c>
      <c r="C17" s="11">
        <v>1.0333333333333301</v>
      </c>
      <c r="D17" s="11">
        <v>0.74333333373069699</v>
      </c>
      <c r="E17" s="11">
        <v>0.63999999960263498</v>
      </c>
      <c r="F17" s="11">
        <v>1.0266666670640301</v>
      </c>
      <c r="G17" s="11">
        <v>0.80666666626930195</v>
      </c>
      <c r="H17" s="10">
        <v>15.386666666467899</v>
      </c>
      <c r="I17" s="10">
        <v>10.446666666865299</v>
      </c>
      <c r="J17" s="10">
        <v>13.2133333345254</v>
      </c>
      <c r="K17" s="10">
        <v>17.2433333337306</v>
      </c>
      <c r="L17" s="10">
        <v>13.323333332935899</v>
      </c>
      <c r="M17" s="10">
        <v>13.380000000198599</v>
      </c>
    </row>
    <row r="18" spans="1:19" ht="16.5" thickTop="1" thickBot="1">
      <c r="B18" s="11">
        <v>1.0266666670640301</v>
      </c>
      <c r="C18" s="11">
        <v>0.79000000059604603</v>
      </c>
      <c r="D18" s="11">
        <v>0.88666666646798398</v>
      </c>
      <c r="E18" s="11">
        <v>0.63999999960263498</v>
      </c>
      <c r="F18" s="11">
        <v>1.02333333392937</v>
      </c>
      <c r="G18" s="11">
        <v>0.83333333333333304</v>
      </c>
      <c r="H18" s="10">
        <v>15.276666667063999</v>
      </c>
      <c r="I18" s="10">
        <v>10.4433333337306</v>
      </c>
      <c r="J18" s="10">
        <v>14.8766666660706</v>
      </c>
      <c r="K18" s="10">
        <v>18.303333334127998</v>
      </c>
      <c r="L18" s="10">
        <v>13.2899999996026</v>
      </c>
      <c r="M18" s="10">
        <v>14.2966666658719</v>
      </c>
    </row>
    <row r="19" spans="1:19" ht="16.5" thickTop="1" thickBot="1">
      <c r="B19" s="11">
        <v>0.963333333532015</v>
      </c>
      <c r="C19" s="11">
        <v>0.75333333313465101</v>
      </c>
      <c r="D19" s="11">
        <v>0.76666666666666605</v>
      </c>
      <c r="E19" s="11">
        <v>0.65999999940395304</v>
      </c>
      <c r="F19" s="11">
        <v>1.1733333329359601</v>
      </c>
      <c r="G19" s="11">
        <v>0.74666666686534799</v>
      </c>
      <c r="H19" s="10">
        <v>15.386666666467899</v>
      </c>
      <c r="I19" s="10">
        <v>10.4300000001986</v>
      </c>
      <c r="J19" s="10">
        <v>16.783333333333299</v>
      </c>
      <c r="K19" s="10">
        <v>17.163333333532002</v>
      </c>
      <c r="L19" s="10">
        <v>13.3</v>
      </c>
      <c r="M19" s="10">
        <v>13.726666667064</v>
      </c>
    </row>
    <row r="20" spans="1:19" ht="16.5" thickTop="1" thickBot="1">
      <c r="B20" s="11">
        <v>0.90999999940395304</v>
      </c>
      <c r="C20" s="11">
        <v>0.97333333392937904</v>
      </c>
      <c r="D20" s="11">
        <v>0.76333333253860403</v>
      </c>
      <c r="E20" s="11">
        <v>0.63333333333333297</v>
      </c>
      <c r="F20" s="11">
        <v>1.0833333333333299</v>
      </c>
      <c r="G20" s="11">
        <v>0.74666666686534799</v>
      </c>
      <c r="H20" s="10">
        <v>16</v>
      </c>
      <c r="I20" s="10">
        <v>10.630000000198599</v>
      </c>
      <c r="J20" s="10">
        <v>14.2933333327372</v>
      </c>
      <c r="K20" s="10">
        <v>18.513333333532</v>
      </c>
      <c r="L20" s="10">
        <v>13.3</v>
      </c>
      <c r="M20" s="10">
        <v>13.303333333134599</v>
      </c>
    </row>
    <row r="21" spans="1:19" ht="16.5" thickTop="1" thickBot="1">
      <c r="B21" s="11">
        <v>1.0033333331346499</v>
      </c>
      <c r="C21" s="11">
        <v>0.77999999920527097</v>
      </c>
      <c r="D21" s="11">
        <v>1.1000000000000001</v>
      </c>
      <c r="E21" s="11">
        <v>0.66666666666666596</v>
      </c>
      <c r="F21" s="11">
        <v>1.11666666666666</v>
      </c>
      <c r="G21" s="11">
        <v>0.76666666666666605</v>
      </c>
      <c r="H21" s="10">
        <v>15.3466666668653</v>
      </c>
      <c r="I21" s="10">
        <v>10.5199999998013</v>
      </c>
      <c r="J21" s="10">
        <v>13.133333333333301</v>
      </c>
      <c r="K21" s="10">
        <v>17.653333333134601</v>
      </c>
      <c r="L21" s="10">
        <v>13.290000000596001</v>
      </c>
      <c r="M21" s="10">
        <v>13.5199999998013</v>
      </c>
    </row>
    <row r="22" spans="1:19" ht="16.5" thickTop="1" thickBot="1">
      <c r="B22" s="11">
        <v>1.37666666706403</v>
      </c>
      <c r="C22" s="11">
        <v>0.81333333253860396</v>
      </c>
      <c r="D22" s="11">
        <v>0.74333333273728597</v>
      </c>
      <c r="E22" s="11">
        <v>0.77666666607061996</v>
      </c>
      <c r="F22" s="11">
        <v>1.1366666664679801</v>
      </c>
      <c r="G22" s="11">
        <v>0.73000000019868205</v>
      </c>
      <c r="H22" s="10">
        <v>16.173333332935901</v>
      </c>
      <c r="I22" s="10">
        <v>10.4433333327372</v>
      </c>
      <c r="J22" s="10">
        <v>13.383333333333301</v>
      </c>
      <c r="K22" s="10">
        <v>17.233333333333299</v>
      </c>
      <c r="L22" s="10">
        <v>13.3533333331346</v>
      </c>
      <c r="M22" s="10">
        <v>14.6066666662693</v>
      </c>
    </row>
    <row r="23" spans="1:19" ht="16.5" thickTop="1" thickBot="1">
      <c r="B23" s="11">
        <v>0.90333333412806105</v>
      </c>
      <c r="C23" s="11">
        <v>0.69666666587193804</v>
      </c>
      <c r="D23" s="11">
        <v>0.75333333313465101</v>
      </c>
      <c r="E23" s="11">
        <v>0.67333333293596898</v>
      </c>
      <c r="F23" s="11">
        <v>0.95666666726271299</v>
      </c>
      <c r="G23" s="11">
        <v>0.72666666706403005</v>
      </c>
      <c r="H23" s="10">
        <v>15.3300000001986</v>
      </c>
      <c r="I23" s="10">
        <v>10.4399999996026</v>
      </c>
      <c r="J23" s="10">
        <v>13.1433333327372</v>
      </c>
      <c r="K23" s="10">
        <v>17.143333333730698</v>
      </c>
      <c r="L23" s="10">
        <v>14.253333334128</v>
      </c>
      <c r="M23" s="10">
        <v>13.4100000003973</v>
      </c>
    </row>
    <row r="24" spans="1:19" ht="16.5" thickTop="1" thickBot="1">
      <c r="B24" s="11">
        <v>0.90666666626930204</v>
      </c>
      <c r="C24" s="11">
        <v>0.76666666666666605</v>
      </c>
      <c r="D24" s="11">
        <v>0.81333333353201498</v>
      </c>
      <c r="E24" s="11">
        <v>0.64666666686534802</v>
      </c>
      <c r="F24" s="11">
        <v>1.57333333094914</v>
      </c>
      <c r="G24" s="11">
        <v>0.75999999940395302</v>
      </c>
      <c r="H24" s="10">
        <v>15.236666666467899</v>
      </c>
      <c r="I24" s="10">
        <v>11.55</v>
      </c>
      <c r="J24" s="10">
        <v>13.316666666666601</v>
      </c>
      <c r="K24" s="10">
        <v>17.326666667064</v>
      </c>
      <c r="L24" s="10">
        <v>13.3466666668653</v>
      </c>
      <c r="M24" s="10">
        <v>13.31666666766</v>
      </c>
    </row>
    <row r="25" spans="1:19" ht="16.5" thickTop="1" thickBot="1">
      <c r="B25" s="11"/>
      <c r="C25" s="11"/>
      <c r="D25" s="11"/>
      <c r="E25" s="11"/>
      <c r="F25" s="11"/>
      <c r="G25" s="11"/>
      <c r="H25" s="9"/>
      <c r="I25" s="9"/>
      <c r="J25" s="9"/>
      <c r="K25" s="9"/>
      <c r="L25" s="9"/>
      <c r="M25" s="9"/>
    </row>
    <row r="26" spans="1:19" ht="13.5" thickTop="1">
      <c r="A26" s="1" t="s">
        <v>15</v>
      </c>
      <c r="B26" s="2">
        <f t="shared" ref="B26:M26" si="1">AVERAGE(B5:B24)</f>
        <v>0.95683333332339815</v>
      </c>
      <c r="C26" s="2">
        <f t="shared" si="1"/>
        <v>0.86349999994039484</v>
      </c>
      <c r="D26" s="2">
        <f t="shared" si="1"/>
        <v>0.83266666665673195</v>
      </c>
      <c r="E26" s="2">
        <f t="shared" si="1"/>
        <v>0.71799999987085572</v>
      </c>
      <c r="F26" s="2">
        <f t="shared" si="1"/>
        <v>1.2486666663487702</v>
      </c>
      <c r="G26" s="2">
        <f t="shared" si="1"/>
        <v>0.84550000006953785</v>
      </c>
      <c r="H26" s="2">
        <f t="shared" si="1"/>
        <v>15.370333333263739</v>
      </c>
      <c r="I26" s="2">
        <f t="shared" si="1"/>
        <v>10.580833333382946</v>
      </c>
      <c r="J26" s="2">
        <f t="shared" si="1"/>
        <v>13.668666666646752</v>
      </c>
      <c r="K26" s="2">
        <f t="shared" si="1"/>
        <v>17.472666666855364</v>
      </c>
      <c r="L26" s="2">
        <f t="shared" si="1"/>
        <v>13.502333333343216</v>
      </c>
      <c r="M26" s="2">
        <f t="shared" si="1"/>
        <v>13.596333333253815</v>
      </c>
      <c r="N26" s="2"/>
      <c r="O26" s="2"/>
      <c r="P26" s="2"/>
      <c r="Q26" s="2"/>
      <c r="R26" s="2"/>
      <c r="S26" s="2"/>
    </row>
    <row r="27" spans="1:19">
      <c r="A27" s="1" t="s">
        <v>16</v>
      </c>
      <c r="B27" s="2">
        <f t="shared" ref="B27:M27" si="2">MEDIAN(B5:B24)</f>
        <v>0.92666666656732499</v>
      </c>
      <c r="C27" s="2">
        <f t="shared" si="2"/>
        <v>0.84333333323399207</v>
      </c>
      <c r="D27" s="2">
        <f t="shared" si="2"/>
        <v>0.81333333353201498</v>
      </c>
      <c r="E27" s="2">
        <f t="shared" si="2"/>
        <v>0.6633333330353095</v>
      </c>
      <c r="F27" s="2">
        <f t="shared" si="2"/>
        <v>1.1366666664679801</v>
      </c>
      <c r="G27" s="2">
        <f t="shared" si="2"/>
        <v>0.80666666626930195</v>
      </c>
      <c r="H27" s="2">
        <f t="shared" si="2"/>
        <v>15.288333332538549</v>
      </c>
      <c r="I27" s="2">
        <f t="shared" si="2"/>
        <v>10.478333333631301</v>
      </c>
      <c r="J27" s="2">
        <f t="shared" si="2"/>
        <v>13.299999999999951</v>
      </c>
      <c r="K27" s="2">
        <f t="shared" si="2"/>
        <v>17.309999999900597</v>
      </c>
      <c r="L27" s="2">
        <f t="shared" si="2"/>
        <v>13.316666666666601</v>
      </c>
      <c r="M27" s="2">
        <f t="shared" si="2"/>
        <v>13.394999999304551</v>
      </c>
      <c r="N27" s="2"/>
      <c r="O27" s="2"/>
      <c r="P27" s="2"/>
      <c r="Q27" s="2"/>
      <c r="R27" s="2"/>
      <c r="S27" s="2"/>
    </row>
    <row r="28" spans="1:19">
      <c r="A28" s="1" t="s">
        <v>18</v>
      </c>
      <c r="B28" s="2">
        <f t="shared" ref="B28:M28" si="3">MIN(B5:B24)</f>
        <v>0.82333333392937902</v>
      </c>
      <c r="C28" s="2">
        <f t="shared" si="3"/>
        <v>0.69666666587193804</v>
      </c>
      <c r="D28" s="2">
        <f t="shared" si="3"/>
        <v>0.71666666666666601</v>
      </c>
      <c r="E28" s="2">
        <f t="shared" si="3"/>
        <v>0.60333333412806101</v>
      </c>
      <c r="F28" s="2">
        <f t="shared" si="3"/>
        <v>0.95666666726271299</v>
      </c>
      <c r="G28" s="2">
        <f t="shared" si="3"/>
        <v>0.72666666706403005</v>
      </c>
      <c r="H28" s="2">
        <f t="shared" si="3"/>
        <v>15.2133333345254</v>
      </c>
      <c r="I28" s="2">
        <f t="shared" si="3"/>
        <v>10.4300000001986</v>
      </c>
      <c r="J28" s="2">
        <f t="shared" si="3"/>
        <v>13.096666665871901</v>
      </c>
      <c r="K28" s="2">
        <f t="shared" si="3"/>
        <v>17.143333333730698</v>
      </c>
      <c r="L28" s="2">
        <f t="shared" si="3"/>
        <v>13.2733333329359</v>
      </c>
      <c r="M28" s="2">
        <f t="shared" si="3"/>
        <v>13.303333333134599</v>
      </c>
      <c r="N28" s="2"/>
      <c r="O28" s="2"/>
      <c r="P28" s="2"/>
      <c r="Q28" s="2"/>
      <c r="R28" s="2"/>
      <c r="S28" s="2"/>
    </row>
    <row r="29" spans="1:19">
      <c r="A29" s="1" t="s">
        <v>19</v>
      </c>
      <c r="B29" s="2">
        <f t="shared" ref="B29:M29" si="4">MAX(B5:B24)</f>
        <v>1.37666666706403</v>
      </c>
      <c r="C29" s="2">
        <f t="shared" si="4"/>
        <v>1.2</v>
      </c>
      <c r="D29" s="2">
        <f t="shared" si="4"/>
        <v>1.1000000000000001</v>
      </c>
      <c r="E29" s="2">
        <f t="shared" si="4"/>
        <v>1.17000000079472</v>
      </c>
      <c r="F29" s="2">
        <f t="shared" si="4"/>
        <v>2.7399999996026301</v>
      </c>
      <c r="G29" s="2">
        <f t="shared" si="4"/>
        <v>1.35999999940395</v>
      </c>
      <c r="H29" s="2">
        <f t="shared" si="4"/>
        <v>16.173333332935901</v>
      </c>
      <c r="I29" s="2">
        <f t="shared" si="4"/>
        <v>11.55</v>
      </c>
      <c r="J29" s="2">
        <f t="shared" si="4"/>
        <v>16.783333333333299</v>
      </c>
      <c r="K29" s="2">
        <f t="shared" si="4"/>
        <v>18.513333333532</v>
      </c>
      <c r="L29" s="2">
        <f t="shared" si="4"/>
        <v>15.093333332737201</v>
      </c>
      <c r="M29" s="2">
        <f t="shared" si="4"/>
        <v>14.6066666662693</v>
      </c>
      <c r="N29" s="2"/>
      <c r="O29" s="2"/>
      <c r="P29" s="2"/>
      <c r="Q29" s="2"/>
      <c r="R29" s="2"/>
      <c r="S29" s="2"/>
    </row>
  </sheetData>
  <mergeCells count="3">
    <mergeCell ref="B3:G3"/>
    <mergeCell ref="H3:M3"/>
    <mergeCell ref="B2:M2"/>
  </mergeCells>
  <conditionalFormatting sqref="B26:S2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7:S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680E-9914-4453-A163-4175193BAFF3}">
  <dimension ref="A1:CM32"/>
  <sheetViews>
    <sheetView topLeftCell="L1" workbookViewId="0">
      <selection activeCell="AC5" sqref="AC5:AC24"/>
    </sheetView>
  </sheetViews>
  <sheetFormatPr defaultRowHeight="12.75"/>
  <cols>
    <col min="2" max="2" width="13.7109375" bestFit="1" customWidth="1"/>
    <col min="3" max="3" width="21.140625" bestFit="1" customWidth="1"/>
    <col min="4" max="7" width="13.7109375" bestFit="1" customWidth="1"/>
    <col min="8" max="8" width="13.28515625" bestFit="1" customWidth="1"/>
    <col min="9" max="9" width="21.140625" bestFit="1" customWidth="1"/>
    <col min="10" max="10" width="12.42578125" bestFit="1" customWidth="1"/>
    <col min="11" max="11" width="5.5703125" bestFit="1" customWidth="1"/>
    <col min="12" max="12" width="8.7109375" bestFit="1" customWidth="1"/>
    <col min="13" max="13" width="8" bestFit="1" customWidth="1"/>
    <col min="14" max="14" width="13.28515625" bestFit="1" customWidth="1"/>
    <col min="15" max="15" width="21.140625" bestFit="1" customWidth="1"/>
    <col min="16" max="20" width="13.7109375" bestFit="1" customWidth="1"/>
    <col min="21" max="21" width="21.140625" bestFit="1" customWidth="1"/>
    <col min="22" max="25" width="13.7109375" bestFit="1" customWidth="1"/>
    <col min="26" max="26" width="13.28515625" bestFit="1" customWidth="1"/>
    <col min="27" max="27" width="21.140625" bestFit="1" customWidth="1"/>
    <col min="28" max="28" width="21.140625" customWidth="1"/>
    <col min="29" max="29" width="12.42578125" bestFit="1" customWidth="1"/>
    <col min="30" max="30" width="5.5703125" bestFit="1" customWidth="1"/>
    <col min="31" max="31" width="8.7109375" bestFit="1" customWidth="1"/>
    <col min="32" max="32" width="13.7109375" bestFit="1" customWidth="1"/>
    <col min="33" max="33" width="21.140625" bestFit="1" customWidth="1"/>
    <col min="34" max="38" width="13.7109375" bestFit="1" customWidth="1"/>
    <col min="39" max="39" width="21.140625" bestFit="1" customWidth="1"/>
    <col min="40" max="43" width="13.7109375" bestFit="1" customWidth="1"/>
    <col min="44" max="44" width="13.28515625" bestFit="1" customWidth="1"/>
    <col min="45" max="45" width="21.140625" bestFit="1" customWidth="1"/>
    <col min="46" max="46" width="12.42578125" bestFit="1" customWidth="1"/>
    <col min="47" max="47" width="5.5703125" bestFit="1" customWidth="1"/>
    <col min="48" max="48" width="8.7109375" bestFit="1" customWidth="1"/>
    <col min="49" max="49" width="8" bestFit="1" customWidth="1"/>
    <col min="50" max="50" width="13.7109375" bestFit="1" customWidth="1"/>
    <col min="51" max="51" width="21.140625" bestFit="1" customWidth="1"/>
    <col min="52" max="56" width="13.7109375" bestFit="1" customWidth="1"/>
    <col min="57" max="57" width="21.140625" bestFit="1" customWidth="1"/>
    <col min="58" max="61" width="13.7109375" bestFit="1" customWidth="1"/>
    <col min="62" max="62" width="13.28515625" bestFit="1" customWidth="1"/>
    <col min="63" max="63" width="21.140625" bestFit="1" customWidth="1"/>
    <col min="64" max="64" width="12.42578125" bestFit="1" customWidth="1"/>
    <col min="65" max="65" width="5.5703125" bestFit="1" customWidth="1"/>
    <col min="66" max="66" width="8.7109375" bestFit="1" customWidth="1"/>
    <col min="67" max="67" width="8" bestFit="1" customWidth="1"/>
    <col min="68" max="68" width="13.7109375" bestFit="1" customWidth="1"/>
    <col min="69" max="69" width="21.140625" bestFit="1" customWidth="1"/>
    <col min="70" max="74" width="13.7109375" bestFit="1" customWidth="1"/>
    <col min="75" max="75" width="21.140625" bestFit="1" customWidth="1"/>
    <col min="76" max="79" width="13.7109375" bestFit="1" customWidth="1"/>
    <col min="80" max="80" width="13.28515625" bestFit="1" customWidth="1"/>
    <col min="81" max="81" width="21.140625" bestFit="1" customWidth="1"/>
    <col min="82" max="82" width="12.42578125" bestFit="1" customWidth="1"/>
    <col min="83" max="83" width="5.5703125" bestFit="1" customWidth="1"/>
    <col min="84" max="84" width="8.7109375" bestFit="1" customWidth="1"/>
    <col min="85" max="85" width="8" bestFit="1" customWidth="1"/>
    <col min="86" max="86" width="13.7109375" bestFit="1" customWidth="1"/>
    <col min="87" max="87" width="21.140625" bestFit="1" customWidth="1"/>
    <col min="88" max="91" width="13.7109375" bestFit="1" customWidth="1"/>
  </cols>
  <sheetData>
    <row r="1" spans="2:91" ht="13.5" thickBot="1"/>
    <row r="2" spans="2:91" ht="16.5" thickTop="1" thickBot="1">
      <c r="B2" s="23" t="s">
        <v>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31" t="s">
        <v>2</v>
      </c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3"/>
      <c r="AL2" s="23" t="s">
        <v>4</v>
      </c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5"/>
      <c r="BD2" s="21" t="s">
        <v>3</v>
      </c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9" t="s">
        <v>0</v>
      </c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</row>
    <row r="3" spans="2:91" ht="16.5" thickTop="1" thickBot="1">
      <c r="B3" s="20" t="s">
        <v>7</v>
      </c>
      <c r="C3" s="20"/>
      <c r="D3" s="20"/>
      <c r="E3" s="20"/>
      <c r="F3" s="20"/>
      <c r="G3" s="20"/>
      <c r="H3" s="21" t="s">
        <v>6</v>
      </c>
      <c r="I3" s="21"/>
      <c r="J3" s="21"/>
      <c r="K3" s="21"/>
      <c r="L3" s="21"/>
      <c r="M3" s="21"/>
      <c r="N3" s="20" t="s">
        <v>5</v>
      </c>
      <c r="O3" s="20"/>
      <c r="P3" s="20"/>
      <c r="Q3" s="20"/>
      <c r="R3" s="20"/>
      <c r="S3" s="20"/>
      <c r="T3" s="21" t="s">
        <v>7</v>
      </c>
      <c r="U3" s="21"/>
      <c r="V3" s="21"/>
      <c r="W3" s="21"/>
      <c r="X3" s="21"/>
      <c r="Y3" s="21"/>
      <c r="Z3" s="20" t="s">
        <v>6</v>
      </c>
      <c r="AA3" s="20"/>
      <c r="AB3" s="20"/>
      <c r="AC3" s="20"/>
      <c r="AD3" s="20"/>
      <c r="AE3" s="20"/>
      <c r="AF3" s="21" t="s">
        <v>5</v>
      </c>
      <c r="AG3" s="21"/>
      <c r="AH3" s="21"/>
      <c r="AI3" s="21"/>
      <c r="AJ3" s="21"/>
      <c r="AK3" s="21"/>
      <c r="AL3" s="20" t="s">
        <v>7</v>
      </c>
      <c r="AM3" s="20"/>
      <c r="AN3" s="20"/>
      <c r="AO3" s="20"/>
      <c r="AP3" s="20"/>
      <c r="AQ3" s="20"/>
      <c r="AR3" s="21" t="s">
        <v>6</v>
      </c>
      <c r="AS3" s="21"/>
      <c r="AT3" s="21"/>
      <c r="AU3" s="21"/>
      <c r="AV3" s="21"/>
      <c r="AW3" s="21"/>
      <c r="AX3" s="20" t="s">
        <v>5</v>
      </c>
      <c r="AY3" s="20"/>
      <c r="AZ3" s="20"/>
      <c r="BA3" s="20"/>
      <c r="BB3" s="20"/>
      <c r="BC3" s="20"/>
      <c r="BD3" s="21" t="s">
        <v>7</v>
      </c>
      <c r="BE3" s="21"/>
      <c r="BF3" s="21"/>
      <c r="BG3" s="21"/>
      <c r="BH3" s="21"/>
      <c r="BI3" s="21"/>
      <c r="BJ3" s="20" t="s">
        <v>6</v>
      </c>
      <c r="BK3" s="20"/>
      <c r="BL3" s="20"/>
      <c r="BM3" s="20"/>
      <c r="BN3" s="20"/>
      <c r="BO3" s="20"/>
      <c r="BP3" s="21" t="s">
        <v>5</v>
      </c>
      <c r="BQ3" s="21"/>
      <c r="BR3" s="21"/>
      <c r="BS3" s="21"/>
      <c r="BT3" s="21"/>
      <c r="BU3" s="21"/>
      <c r="BV3" s="20" t="s">
        <v>7</v>
      </c>
      <c r="BW3" s="20"/>
      <c r="BX3" s="20"/>
      <c r="BY3" s="20"/>
      <c r="BZ3" s="20"/>
      <c r="CA3" s="20"/>
      <c r="CB3" s="21" t="s">
        <v>6</v>
      </c>
      <c r="CC3" s="21"/>
      <c r="CD3" s="21"/>
      <c r="CE3" s="21"/>
      <c r="CF3" s="21"/>
      <c r="CG3" s="21"/>
      <c r="CH3" s="20" t="s">
        <v>5</v>
      </c>
      <c r="CI3" s="20"/>
      <c r="CJ3" s="20"/>
      <c r="CK3" s="20"/>
      <c r="CL3" s="20"/>
      <c r="CM3" s="20"/>
    </row>
    <row r="4" spans="2:91" ht="16.5" thickTop="1" thickBot="1">
      <c r="B4" s="9" t="s">
        <v>12</v>
      </c>
      <c r="C4" s="9" t="s">
        <v>8</v>
      </c>
      <c r="D4" s="9" t="s">
        <v>9</v>
      </c>
      <c r="E4" s="9" t="s">
        <v>11</v>
      </c>
      <c r="F4" s="9" t="s">
        <v>13</v>
      </c>
      <c r="G4" s="9" t="s">
        <v>10</v>
      </c>
      <c r="H4" s="11" t="s">
        <v>12</v>
      </c>
      <c r="I4" s="11" t="s">
        <v>8</v>
      </c>
      <c r="J4" s="11" t="s">
        <v>9</v>
      </c>
      <c r="K4" s="11" t="s">
        <v>11</v>
      </c>
      <c r="L4" s="11" t="s">
        <v>13</v>
      </c>
      <c r="M4" s="11" t="s">
        <v>10</v>
      </c>
      <c r="N4" s="9" t="s">
        <v>12</v>
      </c>
      <c r="O4" s="9" t="s">
        <v>8</v>
      </c>
      <c r="P4" s="9" t="s">
        <v>9</v>
      </c>
      <c r="Q4" s="9" t="s">
        <v>11</v>
      </c>
      <c r="R4" s="9" t="s">
        <v>13</v>
      </c>
      <c r="S4" s="9" t="s">
        <v>10</v>
      </c>
      <c r="T4" s="11" t="s">
        <v>12</v>
      </c>
      <c r="U4" s="11" t="s">
        <v>8</v>
      </c>
      <c r="V4" s="11" t="s">
        <v>9</v>
      </c>
      <c r="W4" s="11" t="s">
        <v>11</v>
      </c>
      <c r="X4" s="11" t="s">
        <v>13</v>
      </c>
      <c r="Y4" s="11" t="s">
        <v>10</v>
      </c>
      <c r="Z4" s="9" t="s">
        <v>12</v>
      </c>
      <c r="AA4" s="9" t="s">
        <v>8</v>
      </c>
      <c r="AB4" s="9" t="s">
        <v>10</v>
      </c>
      <c r="AC4" s="9" t="s">
        <v>9</v>
      </c>
      <c r="AD4" s="9" t="s">
        <v>11</v>
      </c>
      <c r="AE4" s="9" t="s">
        <v>13</v>
      </c>
      <c r="AF4" s="11" t="s">
        <v>12</v>
      </c>
      <c r="AG4" s="11" t="s">
        <v>8</v>
      </c>
      <c r="AH4" s="11" t="s">
        <v>9</v>
      </c>
      <c r="AI4" s="11" t="s">
        <v>11</v>
      </c>
      <c r="AJ4" s="11" t="s">
        <v>13</v>
      </c>
      <c r="AK4" s="11" t="s">
        <v>10</v>
      </c>
      <c r="AL4" s="9" t="s">
        <v>12</v>
      </c>
      <c r="AM4" s="9" t="s">
        <v>8</v>
      </c>
      <c r="AN4" s="9" t="s">
        <v>9</v>
      </c>
      <c r="AO4" s="9" t="s">
        <v>11</v>
      </c>
      <c r="AP4" s="9" t="s">
        <v>13</v>
      </c>
      <c r="AQ4" s="9" t="s">
        <v>10</v>
      </c>
      <c r="AR4" s="11" t="s">
        <v>12</v>
      </c>
      <c r="AS4" s="11" t="s">
        <v>8</v>
      </c>
      <c r="AT4" s="11" t="s">
        <v>9</v>
      </c>
      <c r="AU4" s="11" t="s">
        <v>11</v>
      </c>
      <c r="AV4" s="11" t="s">
        <v>13</v>
      </c>
      <c r="AW4" s="11" t="s">
        <v>10</v>
      </c>
      <c r="AX4" s="9" t="s">
        <v>12</v>
      </c>
      <c r="AY4" s="9" t="s">
        <v>8</v>
      </c>
      <c r="AZ4" s="9" t="s">
        <v>9</v>
      </c>
      <c r="BA4" s="9" t="s">
        <v>11</v>
      </c>
      <c r="BB4" s="9" t="s">
        <v>13</v>
      </c>
      <c r="BC4" s="9" t="s">
        <v>10</v>
      </c>
      <c r="BD4" s="11" t="s">
        <v>12</v>
      </c>
      <c r="BE4" s="11" t="s">
        <v>8</v>
      </c>
      <c r="BF4" s="11" t="s">
        <v>9</v>
      </c>
      <c r="BG4" s="11" t="s">
        <v>11</v>
      </c>
      <c r="BH4" s="11" t="s">
        <v>13</v>
      </c>
      <c r="BI4" s="11" t="s">
        <v>10</v>
      </c>
      <c r="BJ4" s="9" t="s">
        <v>12</v>
      </c>
      <c r="BK4" s="9" t="s">
        <v>8</v>
      </c>
      <c r="BL4" s="9" t="s">
        <v>9</v>
      </c>
      <c r="BM4" s="9" t="s">
        <v>11</v>
      </c>
      <c r="BN4" s="9" t="s">
        <v>13</v>
      </c>
      <c r="BO4" s="9" t="s">
        <v>10</v>
      </c>
      <c r="BP4" s="11" t="s">
        <v>12</v>
      </c>
      <c r="BQ4" s="11" t="s">
        <v>8</v>
      </c>
      <c r="BR4" s="11" t="s">
        <v>9</v>
      </c>
      <c r="BS4" s="11" t="s">
        <v>11</v>
      </c>
      <c r="BT4" s="11" t="s">
        <v>13</v>
      </c>
      <c r="BU4" s="11" t="s">
        <v>10</v>
      </c>
      <c r="BV4" s="9" t="s">
        <v>12</v>
      </c>
      <c r="BW4" s="9" t="s">
        <v>8</v>
      </c>
      <c r="BX4" s="9" t="s">
        <v>9</v>
      </c>
      <c r="BY4" s="9" t="s">
        <v>11</v>
      </c>
      <c r="BZ4" s="9" t="s">
        <v>13</v>
      </c>
      <c r="CA4" s="9" t="s">
        <v>10</v>
      </c>
      <c r="CB4" s="11" t="s">
        <v>12</v>
      </c>
      <c r="CC4" s="11" t="s">
        <v>8</v>
      </c>
      <c r="CD4" s="11" t="s">
        <v>9</v>
      </c>
      <c r="CE4" s="11" t="s">
        <v>11</v>
      </c>
      <c r="CF4" s="11" t="s">
        <v>13</v>
      </c>
      <c r="CG4" s="11" t="s">
        <v>10</v>
      </c>
      <c r="CH4" s="9" t="s">
        <v>12</v>
      </c>
      <c r="CI4" s="9" t="s">
        <v>8</v>
      </c>
      <c r="CJ4" s="9" t="s">
        <v>9</v>
      </c>
      <c r="CK4" s="9" t="s">
        <v>11</v>
      </c>
      <c r="CL4" s="9" t="s">
        <v>13</v>
      </c>
      <c r="CM4" s="9" t="s">
        <v>10</v>
      </c>
    </row>
    <row r="5" spans="2:91" ht="16.5" thickTop="1" thickBot="1">
      <c r="B5" s="9">
        <v>1</v>
      </c>
      <c r="C5" s="9">
        <v>0.79999999888241202</v>
      </c>
      <c r="D5" s="9">
        <v>0.70000000111758698</v>
      </c>
      <c r="E5" s="9">
        <v>1.3000000007450501</v>
      </c>
      <c r="F5" s="9">
        <v>0.90000000037252903</v>
      </c>
      <c r="G5" s="9">
        <v>1.1999999992549399</v>
      </c>
      <c r="H5" s="11">
        <v>25.399999998509799</v>
      </c>
      <c r="I5" s="11">
        <v>25.699999999254899</v>
      </c>
      <c r="J5" s="11">
        <v>26.7000000029802</v>
      </c>
      <c r="K5" s="11">
        <v>25.2999999970197</v>
      </c>
      <c r="L5" s="11">
        <v>25.800000000745001</v>
      </c>
      <c r="M5" s="11">
        <v>25.399999998509799</v>
      </c>
      <c r="N5" s="9">
        <v>0</v>
      </c>
      <c r="O5" s="9">
        <v>0</v>
      </c>
      <c r="P5" s="9">
        <v>9.9999999627470901E-2</v>
      </c>
      <c r="Q5" s="9">
        <v>9.9999999627470901E-2</v>
      </c>
      <c r="R5" s="9">
        <v>0</v>
      </c>
      <c r="S5" s="9">
        <v>0.10000000149011599</v>
      </c>
      <c r="T5" s="11">
        <v>1</v>
      </c>
      <c r="U5" s="11">
        <v>1</v>
      </c>
      <c r="V5" s="11">
        <v>1.5</v>
      </c>
      <c r="W5" s="11">
        <v>2.9000000003725201</v>
      </c>
      <c r="X5" s="11">
        <v>1.0999999996274701</v>
      </c>
      <c r="Y5" s="11">
        <v>1.0999999996274701</v>
      </c>
      <c r="Z5" s="9">
        <v>39.5</v>
      </c>
      <c r="AA5" s="9">
        <v>39.5</v>
      </c>
      <c r="AB5" s="9">
        <v>41.038896317508424</v>
      </c>
      <c r="AC5" s="9">
        <v>39</v>
      </c>
      <c r="AD5" s="9">
        <v>39.900000002235103</v>
      </c>
      <c r="AE5" s="9">
        <v>37.899999998509799</v>
      </c>
      <c r="AF5" s="11">
        <v>0.20000000111758701</v>
      </c>
      <c r="AG5" s="11">
        <v>0.199999999254941</v>
      </c>
      <c r="AH5" s="11">
        <v>9.9999999627470901E-2</v>
      </c>
      <c r="AI5" s="11">
        <v>0.40000000037252897</v>
      </c>
      <c r="AJ5" s="11">
        <v>0.199999999254941</v>
      </c>
      <c r="AK5" s="11">
        <v>0.199999999254941</v>
      </c>
      <c r="AL5" s="9">
        <v>1.0999999996274701</v>
      </c>
      <c r="AM5" s="9">
        <v>1.3000000007450501</v>
      </c>
      <c r="AN5" s="9">
        <v>1.0999999996274701</v>
      </c>
      <c r="AO5" s="9">
        <v>1.3000000007450501</v>
      </c>
      <c r="AP5" s="9">
        <v>1.20000000111758</v>
      </c>
      <c r="AQ5" s="9">
        <v>1.5</v>
      </c>
      <c r="AR5" s="11">
        <v>39.699999999254899</v>
      </c>
      <c r="AS5" s="11">
        <v>39.300000000745001</v>
      </c>
      <c r="AT5" s="11">
        <v>39.400000002235103</v>
      </c>
      <c r="AU5" s="11">
        <v>34.200000002980197</v>
      </c>
      <c r="AV5" s="11">
        <v>38.600000001490102</v>
      </c>
      <c r="AW5" s="11">
        <v>38.399999998509799</v>
      </c>
      <c r="AX5" s="9">
        <v>0.20000000298023199</v>
      </c>
      <c r="AY5" s="9">
        <v>0.300000000745058</v>
      </c>
      <c r="AZ5" s="9">
        <v>0.5</v>
      </c>
      <c r="BA5" s="9">
        <v>0.60000000149011601</v>
      </c>
      <c r="BB5" s="9">
        <v>0.300000000745058</v>
      </c>
      <c r="BC5" s="9">
        <v>0.199999999254941</v>
      </c>
      <c r="BD5" s="11">
        <v>7.5999999977648196</v>
      </c>
      <c r="BE5" s="11">
        <v>6.5999999977648196</v>
      </c>
      <c r="BF5" s="11">
        <v>7.5</v>
      </c>
      <c r="BG5" s="11">
        <v>9</v>
      </c>
      <c r="BH5" s="11">
        <v>5.6999999992549402</v>
      </c>
      <c r="BI5" s="11">
        <v>6.6999999992549402</v>
      </c>
      <c r="BJ5" s="9">
        <v>66.700000002980204</v>
      </c>
      <c r="BK5" s="9">
        <v>63.299999997019697</v>
      </c>
      <c r="BL5" s="9">
        <v>64.600000001490102</v>
      </c>
      <c r="BM5" s="9">
        <v>83.099999997764797</v>
      </c>
      <c r="BN5" s="9">
        <v>46.100000001490102</v>
      </c>
      <c r="BO5" s="9">
        <v>61.300000000745001</v>
      </c>
      <c r="BP5" s="11">
        <v>5.3000000007450501</v>
      </c>
      <c r="BQ5" s="11">
        <v>5.1999999992549402</v>
      </c>
      <c r="BR5" s="11">
        <v>6.7000000029802296</v>
      </c>
      <c r="BS5" s="11">
        <v>6.8999999985098803</v>
      </c>
      <c r="BT5" s="11">
        <v>4</v>
      </c>
      <c r="BU5" s="11">
        <v>5.1999999992549402</v>
      </c>
      <c r="BV5" s="9">
        <v>7.7999999988824102</v>
      </c>
      <c r="BW5" s="9">
        <v>5.4000000003725201</v>
      </c>
      <c r="BX5" s="9">
        <v>2.5999999996274701</v>
      </c>
      <c r="BY5" s="9">
        <v>3.0999999996274701</v>
      </c>
      <c r="BZ5" s="9">
        <v>11.2999999988824</v>
      </c>
      <c r="CA5" s="9">
        <v>3.5999999996274701</v>
      </c>
      <c r="CB5" s="11">
        <v>644.90000000223495</v>
      </c>
      <c r="CC5" s="11">
        <v>369</v>
      </c>
      <c r="CD5" s="11">
        <v>70.199999999254899</v>
      </c>
      <c r="CE5" s="11">
        <v>80.099999997764797</v>
      </c>
      <c r="CF5" s="11">
        <v>675.89999999850897</v>
      </c>
      <c r="CG5" s="11">
        <v>74.100000001490102</v>
      </c>
      <c r="CH5" s="9">
        <v>1.4000000003725199</v>
      </c>
      <c r="CI5" s="9">
        <v>1</v>
      </c>
      <c r="CJ5" s="9">
        <v>0.5</v>
      </c>
      <c r="CK5" s="9">
        <v>0.59999999962747097</v>
      </c>
      <c r="CL5" s="9">
        <v>1.1999999992549399</v>
      </c>
      <c r="CM5" s="9">
        <v>0.60000000149011601</v>
      </c>
    </row>
    <row r="6" spans="2:91" ht="16.5" thickTop="1" thickBot="1">
      <c r="B6" s="9">
        <v>0.80000000074505795</v>
      </c>
      <c r="C6" s="9">
        <v>0.90000000037252903</v>
      </c>
      <c r="D6" s="9">
        <v>0.69999999925494105</v>
      </c>
      <c r="E6" s="9">
        <v>0.90000000037252903</v>
      </c>
      <c r="F6" s="9">
        <v>0.80000000074505795</v>
      </c>
      <c r="G6" s="9">
        <v>0.80000000074505795</v>
      </c>
      <c r="H6" s="11">
        <v>25.699999999254899</v>
      </c>
      <c r="I6" s="11">
        <v>25.600000001490098</v>
      </c>
      <c r="J6" s="11">
        <v>27</v>
      </c>
      <c r="K6" s="11">
        <v>25.399999998509799</v>
      </c>
      <c r="L6" s="11">
        <v>28</v>
      </c>
      <c r="M6" s="11">
        <v>27.599999997764801</v>
      </c>
      <c r="N6" s="9">
        <v>9.9999999627470901E-2</v>
      </c>
      <c r="O6" s="9">
        <v>9.9999999627470901E-2</v>
      </c>
      <c r="P6" s="9">
        <v>0</v>
      </c>
      <c r="Q6" s="9">
        <v>0</v>
      </c>
      <c r="R6" s="9">
        <v>0</v>
      </c>
      <c r="S6" s="9">
        <v>0</v>
      </c>
      <c r="T6" s="11">
        <v>1.0999999996274701</v>
      </c>
      <c r="U6" s="11">
        <v>1.4000000003725199</v>
      </c>
      <c r="V6" s="11">
        <v>1.0999999996274701</v>
      </c>
      <c r="W6" s="11">
        <v>1.4000000003725199</v>
      </c>
      <c r="X6" s="11">
        <v>1.0999999996274701</v>
      </c>
      <c r="Y6" s="11">
        <v>1.0999999996274701</v>
      </c>
      <c r="Z6" s="9">
        <v>39.599999997764797</v>
      </c>
      <c r="AA6" s="9">
        <v>39.199999999254899</v>
      </c>
      <c r="AB6" s="9">
        <v>41.33097585414766</v>
      </c>
      <c r="AC6" s="9">
        <v>38.800000000745001</v>
      </c>
      <c r="AD6" s="9">
        <v>39.399999998509799</v>
      </c>
      <c r="AE6" s="9">
        <v>37.800000000745001</v>
      </c>
      <c r="AF6" s="11">
        <v>0.199999999254941</v>
      </c>
      <c r="AG6" s="11">
        <v>9.9999999627470901E-2</v>
      </c>
      <c r="AH6" s="11">
        <v>9.9999999627470901E-2</v>
      </c>
      <c r="AI6" s="11">
        <v>0.300000000745058</v>
      </c>
      <c r="AJ6" s="11">
        <v>0.300000000745058</v>
      </c>
      <c r="AK6" s="11">
        <v>9.9999999627470901E-2</v>
      </c>
      <c r="AL6" s="9">
        <v>1.20000000111758</v>
      </c>
      <c r="AM6" s="9">
        <v>1.20000000111758</v>
      </c>
      <c r="AN6" s="9">
        <v>1.0999999996274701</v>
      </c>
      <c r="AO6" s="9">
        <v>1.0999999996274701</v>
      </c>
      <c r="AP6" s="9">
        <v>1.0999999996274701</v>
      </c>
      <c r="AQ6" s="9">
        <v>1.5</v>
      </c>
      <c r="AR6" s="11">
        <v>39.5</v>
      </c>
      <c r="AS6" s="11">
        <v>39.400000002235103</v>
      </c>
      <c r="AT6" s="11">
        <v>39.300000000745001</v>
      </c>
      <c r="AU6" s="11">
        <v>33.899999998509799</v>
      </c>
      <c r="AV6" s="11">
        <v>38.800000000745001</v>
      </c>
      <c r="AW6" s="11">
        <v>38.5</v>
      </c>
      <c r="AX6" s="9">
        <v>0.10000000149011599</v>
      </c>
      <c r="AY6" s="9">
        <v>0.300000000745058</v>
      </c>
      <c r="AZ6" s="9">
        <v>0.39999999850988299</v>
      </c>
      <c r="BA6" s="9">
        <v>0.39999999850988299</v>
      </c>
      <c r="BB6" s="9">
        <v>0.199999999254941</v>
      </c>
      <c r="BC6" s="9">
        <v>0.199999999254941</v>
      </c>
      <c r="BD6" s="11">
        <v>8.1999999992549402</v>
      </c>
      <c r="BE6" s="11">
        <v>6.5</v>
      </c>
      <c r="BF6" s="11">
        <v>8.2999999970197607</v>
      </c>
      <c r="BG6" s="11">
        <v>8.8000000007450492</v>
      </c>
      <c r="BH6" s="11">
        <v>6.9000000022351697</v>
      </c>
      <c r="BI6" s="11">
        <v>6.5999999977648196</v>
      </c>
      <c r="BJ6" s="9">
        <v>58.400000002235103</v>
      </c>
      <c r="BK6" s="9">
        <v>62.300000000745001</v>
      </c>
      <c r="BL6" s="9">
        <v>65</v>
      </c>
      <c r="BM6" s="9">
        <v>82.399999998509799</v>
      </c>
      <c r="BN6" s="9">
        <v>45.899999998509799</v>
      </c>
      <c r="BO6" s="9">
        <v>61.400000002235103</v>
      </c>
      <c r="BP6" s="11">
        <v>5.8000000007450501</v>
      </c>
      <c r="BQ6" s="11">
        <v>5.1999999992549402</v>
      </c>
      <c r="BR6" s="11">
        <v>6</v>
      </c>
      <c r="BS6" s="11">
        <v>7.5</v>
      </c>
      <c r="BT6" s="11">
        <v>4.5</v>
      </c>
      <c r="BU6" s="11">
        <v>5.3999999985098803</v>
      </c>
      <c r="BV6" s="9">
        <v>9.0999999996274692</v>
      </c>
      <c r="BW6" s="9">
        <v>5.1000000014901099</v>
      </c>
      <c r="BX6" s="9">
        <v>2.1000000014901099</v>
      </c>
      <c r="BY6" s="9">
        <v>2.8999999985098799</v>
      </c>
      <c r="BZ6" s="9">
        <v>8.9000000003725201</v>
      </c>
      <c r="CA6" s="9">
        <v>2.0999999996274701</v>
      </c>
      <c r="CB6" s="11">
        <v>654.10000000149</v>
      </c>
      <c r="CC6" s="11">
        <v>370.800000000745</v>
      </c>
      <c r="CD6" s="11">
        <v>70.5</v>
      </c>
      <c r="CE6" s="11">
        <v>79</v>
      </c>
      <c r="CF6" s="11">
        <v>662.69999999925403</v>
      </c>
      <c r="CG6" s="11">
        <v>74.299999997019697</v>
      </c>
      <c r="CH6" s="9">
        <v>1.3000000007450501</v>
      </c>
      <c r="CI6" s="9">
        <v>1</v>
      </c>
      <c r="CJ6" s="9">
        <v>0.5</v>
      </c>
      <c r="CK6" s="9">
        <v>0.59999999962747097</v>
      </c>
      <c r="CL6" s="9">
        <v>1.1999999992549399</v>
      </c>
      <c r="CM6" s="9">
        <v>0.59999999962747097</v>
      </c>
    </row>
    <row r="7" spans="2:91" ht="16.5" thickTop="1" thickBot="1">
      <c r="B7" s="9">
        <v>0.80000000074505795</v>
      </c>
      <c r="C7" s="9">
        <v>1.1999999992549399</v>
      </c>
      <c r="D7" s="9">
        <v>1.20000000111758</v>
      </c>
      <c r="E7" s="9">
        <v>1.5</v>
      </c>
      <c r="F7" s="9">
        <v>0.80000000074505795</v>
      </c>
      <c r="G7" s="9">
        <v>1.1000000014901099</v>
      </c>
      <c r="H7" s="11">
        <v>25.399999998509799</v>
      </c>
      <c r="I7" s="11">
        <v>25.5</v>
      </c>
      <c r="J7" s="11">
        <v>26.800000000745001</v>
      </c>
      <c r="K7" s="11">
        <v>25.300000000745001</v>
      </c>
      <c r="L7" s="11">
        <v>25.899999998509799</v>
      </c>
      <c r="M7" s="11">
        <v>25.199999999254899</v>
      </c>
      <c r="N7" s="9">
        <v>0</v>
      </c>
      <c r="O7" s="9">
        <v>0</v>
      </c>
      <c r="P7" s="9">
        <v>0.10000000149011599</v>
      </c>
      <c r="Q7" s="9">
        <v>0</v>
      </c>
      <c r="R7" s="9">
        <v>9.9999999627470901E-2</v>
      </c>
      <c r="S7" s="9">
        <v>0</v>
      </c>
      <c r="T7" s="11">
        <v>1.0999999996274701</v>
      </c>
      <c r="U7" s="11">
        <v>1.6999999992549399</v>
      </c>
      <c r="V7" s="11">
        <v>1.3000000007450501</v>
      </c>
      <c r="W7" s="11">
        <v>1.9000000003725199</v>
      </c>
      <c r="X7" s="11">
        <v>1.20000000111758</v>
      </c>
      <c r="Y7" s="11">
        <v>0.89999999850988299</v>
      </c>
      <c r="Z7" s="9">
        <v>39.199999999254899</v>
      </c>
      <c r="AA7" s="9">
        <v>39</v>
      </c>
      <c r="AB7" s="9">
        <v>33.356572450612525</v>
      </c>
      <c r="AC7" s="9">
        <v>38.800000000745001</v>
      </c>
      <c r="AD7" s="9">
        <v>39.600000001490102</v>
      </c>
      <c r="AE7" s="9">
        <v>37.899999998509799</v>
      </c>
      <c r="AF7" s="11">
        <v>0.10000000149011599</v>
      </c>
      <c r="AG7" s="11">
        <v>0.20000000111758701</v>
      </c>
      <c r="AH7" s="11">
        <v>0.199999999254941</v>
      </c>
      <c r="AI7" s="11">
        <v>0.29999999888241202</v>
      </c>
      <c r="AJ7" s="11">
        <v>0.199999999254941</v>
      </c>
      <c r="AK7" s="11">
        <v>9.9999999627470901E-2</v>
      </c>
      <c r="AL7" s="9">
        <v>1.1999999992549399</v>
      </c>
      <c r="AM7" s="9">
        <v>1.1999999992549399</v>
      </c>
      <c r="AN7" s="9">
        <v>1.0999999996274701</v>
      </c>
      <c r="AO7" s="9">
        <v>1.3999999985098801</v>
      </c>
      <c r="AP7" s="9">
        <v>1.0999999996274701</v>
      </c>
      <c r="AQ7" s="9">
        <v>1.5</v>
      </c>
      <c r="AR7" s="11">
        <v>39.5</v>
      </c>
      <c r="AS7" s="11">
        <v>39.300000000745001</v>
      </c>
      <c r="AT7" s="11">
        <v>43.699999999254899</v>
      </c>
      <c r="AU7" s="11">
        <v>34.100000001490102</v>
      </c>
      <c r="AV7" s="11">
        <v>38.699999999254899</v>
      </c>
      <c r="AW7" s="11">
        <v>40.600000001490102</v>
      </c>
      <c r="AX7" s="9">
        <v>0.300000000745058</v>
      </c>
      <c r="AY7" s="9">
        <v>0.300000000745058</v>
      </c>
      <c r="AZ7" s="9">
        <v>0.5</v>
      </c>
      <c r="BA7" s="9">
        <v>0.39999999850988299</v>
      </c>
      <c r="BB7" s="9">
        <v>0.199999999254941</v>
      </c>
      <c r="BC7" s="9">
        <v>0.20000000298023199</v>
      </c>
      <c r="BD7" s="11">
        <v>8.1000000014901108</v>
      </c>
      <c r="BE7" s="11">
        <v>6.5</v>
      </c>
      <c r="BF7" s="11">
        <v>8.6000000014901108</v>
      </c>
      <c r="BG7" s="11">
        <v>9.6999999992549402</v>
      </c>
      <c r="BH7" s="11">
        <v>5.9000000022351697</v>
      </c>
      <c r="BI7" s="11">
        <v>6.8000000007450501</v>
      </c>
      <c r="BJ7" s="9">
        <v>57.5</v>
      </c>
      <c r="BK7" s="9">
        <v>61.699999999254899</v>
      </c>
      <c r="BL7" s="9">
        <v>65</v>
      </c>
      <c r="BM7" s="9">
        <v>82.699999999254899</v>
      </c>
      <c r="BN7" s="9">
        <v>45.899999998509799</v>
      </c>
      <c r="BO7" s="9">
        <v>60.699999999254899</v>
      </c>
      <c r="BP7" s="11">
        <v>5.3000000007450501</v>
      </c>
      <c r="BQ7" s="11">
        <v>5.2999999970197598</v>
      </c>
      <c r="BR7" s="11">
        <v>6</v>
      </c>
      <c r="BS7" s="11">
        <v>6.6000000014901099</v>
      </c>
      <c r="BT7" s="11">
        <v>4</v>
      </c>
      <c r="BU7" s="11">
        <v>5.1999999992549402</v>
      </c>
      <c r="BV7" s="9">
        <v>7.2999999988824102</v>
      </c>
      <c r="BW7" s="9">
        <v>5.4000000003725201</v>
      </c>
      <c r="BX7" s="9">
        <v>3</v>
      </c>
      <c r="BY7" s="9">
        <v>1.9000000003725199</v>
      </c>
      <c r="BZ7" s="9">
        <v>11.400000000372501</v>
      </c>
      <c r="CA7" s="9">
        <v>2.4000000003725201</v>
      </c>
      <c r="CB7" s="11">
        <v>680.60000000149</v>
      </c>
      <c r="CC7" s="11">
        <v>347.5</v>
      </c>
      <c r="CD7" s="11">
        <v>70.800000000745001</v>
      </c>
      <c r="CE7" s="11">
        <v>79.099999997764797</v>
      </c>
      <c r="CF7" s="11">
        <v>673.10000000149</v>
      </c>
      <c r="CG7" s="11">
        <v>76.399999998509799</v>
      </c>
      <c r="CH7" s="9">
        <v>1.4000000003725199</v>
      </c>
      <c r="CI7" s="9">
        <v>0.70000000111758698</v>
      </c>
      <c r="CJ7" s="9">
        <v>0.300000000745058</v>
      </c>
      <c r="CK7" s="9">
        <v>0.5</v>
      </c>
      <c r="CL7" s="9">
        <v>1</v>
      </c>
      <c r="CM7" s="9">
        <v>0.90000000037252903</v>
      </c>
    </row>
    <row r="8" spans="2:91" ht="16.5" thickTop="1" thickBot="1">
      <c r="B8" s="9">
        <v>0.69999999925494105</v>
      </c>
      <c r="C8" s="9">
        <v>0.80000000074505795</v>
      </c>
      <c r="D8" s="9">
        <v>0.90000000037252903</v>
      </c>
      <c r="E8" s="9">
        <v>0.90000000037252903</v>
      </c>
      <c r="F8" s="9">
        <v>0.70000000111758698</v>
      </c>
      <c r="G8" s="9">
        <v>0.70000000111758698</v>
      </c>
      <c r="H8" s="11">
        <v>25.399999998509799</v>
      </c>
      <c r="I8" s="11">
        <v>25.5</v>
      </c>
      <c r="J8" s="11">
        <v>26.699999999254899</v>
      </c>
      <c r="K8" s="11">
        <v>25.399999998509799</v>
      </c>
      <c r="L8" s="11">
        <v>26.099999997764801</v>
      </c>
      <c r="M8" s="11">
        <v>25.399999998509799</v>
      </c>
      <c r="N8" s="9">
        <v>0</v>
      </c>
      <c r="O8" s="9">
        <v>0</v>
      </c>
      <c r="P8" s="9">
        <v>0</v>
      </c>
      <c r="Q8" s="9">
        <v>0</v>
      </c>
      <c r="R8" s="9">
        <v>0.10000000149011599</v>
      </c>
      <c r="S8" s="9">
        <v>0</v>
      </c>
      <c r="T8" s="11">
        <v>1.0999999996274701</v>
      </c>
      <c r="U8" s="11">
        <v>1.0999999996274701</v>
      </c>
      <c r="V8" s="11">
        <v>1.8000000007450501</v>
      </c>
      <c r="W8" s="11">
        <v>1.5</v>
      </c>
      <c r="X8" s="11">
        <v>1.0999999996274701</v>
      </c>
      <c r="Y8" s="11">
        <v>1.3000000007450501</v>
      </c>
      <c r="Z8" s="9">
        <v>39.099999997764797</v>
      </c>
      <c r="AA8" s="9">
        <v>39.099999997764797</v>
      </c>
      <c r="AB8" s="9">
        <v>44.312260838990682</v>
      </c>
      <c r="AC8" s="9">
        <v>39.199999999254899</v>
      </c>
      <c r="AD8" s="9">
        <v>39.5</v>
      </c>
      <c r="AE8" s="9">
        <v>38.300000000745001</v>
      </c>
      <c r="AF8" s="11">
        <v>9.9999999627470901E-2</v>
      </c>
      <c r="AG8" s="11">
        <v>0.300000000745058</v>
      </c>
      <c r="AH8" s="11">
        <v>0.199999999254941</v>
      </c>
      <c r="AI8" s="11">
        <v>0.10000000149011599</v>
      </c>
      <c r="AJ8" s="11">
        <v>0.20000000111758701</v>
      </c>
      <c r="AK8" s="11">
        <v>0.300000000745058</v>
      </c>
      <c r="AL8" s="9">
        <v>1.1999999992549399</v>
      </c>
      <c r="AM8" s="9">
        <v>1.0999999996274701</v>
      </c>
      <c r="AN8" s="9">
        <v>1</v>
      </c>
      <c r="AO8" s="9">
        <v>1.29999999888241</v>
      </c>
      <c r="AP8" s="9">
        <v>1.3000000007450501</v>
      </c>
      <c r="AQ8" s="9">
        <v>1.1000000014901099</v>
      </c>
      <c r="AR8" s="11">
        <v>40.100000001490102</v>
      </c>
      <c r="AS8" s="11">
        <v>39</v>
      </c>
      <c r="AT8" s="11">
        <v>39.699999999254899</v>
      </c>
      <c r="AU8" s="11">
        <v>34.399999998509799</v>
      </c>
      <c r="AV8" s="11">
        <v>38.199999999254899</v>
      </c>
      <c r="AW8" s="11">
        <v>38.699999999254899</v>
      </c>
      <c r="AX8" s="9">
        <v>0.5</v>
      </c>
      <c r="AY8" s="9">
        <v>0.300000000745058</v>
      </c>
      <c r="AZ8" s="9">
        <v>0.39999999850988299</v>
      </c>
      <c r="BA8" s="9">
        <v>0.199999999254941</v>
      </c>
      <c r="BB8" s="9">
        <v>0.199999999254941</v>
      </c>
      <c r="BC8" s="9">
        <v>0.199999999254941</v>
      </c>
      <c r="BD8" s="11">
        <v>7.8999999985098803</v>
      </c>
      <c r="BE8" s="11">
        <v>6.5</v>
      </c>
      <c r="BF8" s="11">
        <v>7.9000000022351697</v>
      </c>
      <c r="BG8" s="11">
        <v>8.3999999985098803</v>
      </c>
      <c r="BH8" s="11">
        <v>5.7000000029802296</v>
      </c>
      <c r="BI8" s="11">
        <v>6.8000000007450501</v>
      </c>
      <c r="BJ8" s="9">
        <v>62</v>
      </c>
      <c r="BK8" s="9">
        <v>61.699999999254899</v>
      </c>
      <c r="BL8" s="9">
        <v>64.599999997764797</v>
      </c>
      <c r="BM8" s="9">
        <v>82.5</v>
      </c>
      <c r="BN8" s="9">
        <v>46</v>
      </c>
      <c r="BO8" s="9">
        <v>60.700000002980197</v>
      </c>
      <c r="BP8" s="11">
        <v>5.1999999992549402</v>
      </c>
      <c r="BQ8" s="11">
        <v>5.3000000007450501</v>
      </c>
      <c r="BR8" s="11">
        <v>6.1000000014901099</v>
      </c>
      <c r="BS8" s="11">
        <v>6.6999999992549402</v>
      </c>
      <c r="BT8" s="11">
        <v>4.3999999985098803</v>
      </c>
      <c r="BU8" s="11">
        <v>5.3000000007450501</v>
      </c>
      <c r="BV8" s="9">
        <v>12.900000000372501</v>
      </c>
      <c r="BW8" s="9">
        <v>5.70000000111758</v>
      </c>
      <c r="BX8" s="9">
        <v>2.1000000014901099</v>
      </c>
      <c r="BY8" s="9">
        <v>1.5</v>
      </c>
      <c r="BZ8" s="9">
        <v>9.5</v>
      </c>
      <c r="CA8" s="9">
        <v>2.70000000111758</v>
      </c>
      <c r="CB8" s="11">
        <v>642.5</v>
      </c>
      <c r="CC8" s="11">
        <v>343.29999999701897</v>
      </c>
      <c r="CD8" s="11">
        <v>72.300000000745001</v>
      </c>
      <c r="CE8" s="11">
        <v>78.5</v>
      </c>
      <c r="CF8" s="11">
        <v>665.19999999925403</v>
      </c>
      <c r="CG8" s="11">
        <v>74.199999999254899</v>
      </c>
      <c r="CH8" s="9">
        <v>1.3999999985098801</v>
      </c>
      <c r="CI8" s="9">
        <v>1.4000000003725199</v>
      </c>
      <c r="CJ8" s="9">
        <v>0.80000000074505795</v>
      </c>
      <c r="CK8" s="9">
        <v>0.40000000037252897</v>
      </c>
      <c r="CL8" s="9">
        <v>1.0999999996274701</v>
      </c>
      <c r="CM8" s="9">
        <v>0.5</v>
      </c>
    </row>
    <row r="9" spans="2:91" ht="16.5" thickTop="1" thickBot="1">
      <c r="B9" s="9">
        <v>0.80000000074505795</v>
      </c>
      <c r="C9" s="9">
        <v>0.80000000074505795</v>
      </c>
      <c r="D9" s="9">
        <v>0.90000000037252903</v>
      </c>
      <c r="E9" s="9">
        <v>0.80000000074505795</v>
      </c>
      <c r="F9" s="9">
        <v>0.90000000037252903</v>
      </c>
      <c r="G9" s="9">
        <v>0.89999999850988299</v>
      </c>
      <c r="H9" s="11">
        <v>25.599999997764801</v>
      </c>
      <c r="I9" s="11">
        <v>25.599999997764801</v>
      </c>
      <c r="J9" s="11">
        <v>26.899999998509799</v>
      </c>
      <c r="K9" s="11">
        <v>25.199999999254899</v>
      </c>
      <c r="L9" s="11">
        <v>25.699999999254899</v>
      </c>
      <c r="M9" s="11">
        <v>25.2000000029802</v>
      </c>
      <c r="N9" s="9">
        <v>0</v>
      </c>
      <c r="O9" s="9">
        <v>0</v>
      </c>
      <c r="P9" s="9">
        <v>0</v>
      </c>
      <c r="Q9" s="9">
        <v>0.10000000149011599</v>
      </c>
      <c r="R9" s="9">
        <v>0</v>
      </c>
      <c r="S9" s="9">
        <v>9.9999999627470901E-2</v>
      </c>
      <c r="T9" s="11">
        <v>1.0999999996274701</v>
      </c>
      <c r="U9" s="11">
        <v>1.5999999996274701</v>
      </c>
      <c r="V9" s="11">
        <v>1.0999999996274701</v>
      </c>
      <c r="W9" s="11">
        <v>1.20000000111758</v>
      </c>
      <c r="X9" s="11">
        <v>1.1000000014901099</v>
      </c>
      <c r="Y9" s="11">
        <v>1</v>
      </c>
      <c r="Z9" s="9">
        <v>39</v>
      </c>
      <c r="AA9" s="9">
        <v>39.300000000745001</v>
      </c>
      <c r="AB9" s="9">
        <v>38.91907192924716</v>
      </c>
      <c r="AC9" s="9">
        <v>38.899999998509799</v>
      </c>
      <c r="AD9" s="9">
        <v>39.399999998509799</v>
      </c>
      <c r="AE9" s="9">
        <v>38.199999999254899</v>
      </c>
      <c r="AF9" s="11">
        <v>0.199999999254941</v>
      </c>
      <c r="AG9" s="11">
        <v>0.20000000111758701</v>
      </c>
      <c r="AH9" s="11">
        <v>9.9999999627470901E-2</v>
      </c>
      <c r="AI9" s="11">
        <v>9.9999999627470901E-2</v>
      </c>
      <c r="AJ9" s="11">
        <v>0.29999999888241202</v>
      </c>
      <c r="AK9" s="11">
        <v>9.9999999627470901E-2</v>
      </c>
      <c r="AL9" s="9">
        <v>1.1999999992549399</v>
      </c>
      <c r="AM9" s="9">
        <v>1.3000000007450501</v>
      </c>
      <c r="AN9" s="9">
        <v>1.20000000111758</v>
      </c>
      <c r="AO9" s="9">
        <v>1.0999999996274701</v>
      </c>
      <c r="AP9" s="9">
        <v>1.0999999996274701</v>
      </c>
      <c r="AQ9" s="9">
        <v>1.0999999996274701</v>
      </c>
      <c r="AR9" s="11">
        <v>39.5</v>
      </c>
      <c r="AS9" s="11">
        <v>39</v>
      </c>
      <c r="AT9" s="11">
        <v>39.199999999254899</v>
      </c>
      <c r="AU9" s="11">
        <v>34</v>
      </c>
      <c r="AV9" s="11">
        <v>38.800000000745001</v>
      </c>
      <c r="AW9" s="11">
        <v>38.5</v>
      </c>
      <c r="AX9" s="9">
        <v>0.5</v>
      </c>
      <c r="AY9" s="9">
        <v>0.300000000745058</v>
      </c>
      <c r="AZ9" s="9">
        <v>9.9999997764825793E-2</v>
      </c>
      <c r="BA9" s="9">
        <v>0.199999999254941</v>
      </c>
      <c r="BB9" s="9">
        <v>0.29999999701976698</v>
      </c>
      <c r="BC9" s="9">
        <v>0.20000000298023199</v>
      </c>
      <c r="BD9" s="11">
        <v>7.8999999985098803</v>
      </c>
      <c r="BE9" s="11">
        <v>6.5</v>
      </c>
      <c r="BF9" s="11">
        <v>8.5</v>
      </c>
      <c r="BG9" s="11">
        <v>8.6000000014901108</v>
      </c>
      <c r="BH9" s="11">
        <v>5.8000000007450501</v>
      </c>
      <c r="BI9" s="11">
        <v>6.6999999992549402</v>
      </c>
      <c r="BJ9" s="9">
        <v>57.699999999254899</v>
      </c>
      <c r="BK9" s="9">
        <v>61.399999998509799</v>
      </c>
      <c r="BL9" s="9">
        <v>64.5</v>
      </c>
      <c r="BM9" s="9">
        <v>83.600000001490102</v>
      </c>
      <c r="BN9" s="9">
        <v>45.699999999254899</v>
      </c>
      <c r="BO9" s="9">
        <v>60.100000001490102</v>
      </c>
      <c r="BP9" s="11">
        <v>8</v>
      </c>
      <c r="BQ9" s="11">
        <v>5.1000000014901099</v>
      </c>
      <c r="BR9" s="11">
        <v>6.1000000014901099</v>
      </c>
      <c r="BS9" s="11">
        <v>7.1999999992549402</v>
      </c>
      <c r="BT9" s="11">
        <v>4.5</v>
      </c>
      <c r="BU9" s="11">
        <v>5.3999999985098803</v>
      </c>
      <c r="BV9" s="9">
        <v>8.2999999988824094</v>
      </c>
      <c r="BW9" s="9">
        <v>5.5999999996274701</v>
      </c>
      <c r="BX9" s="9">
        <v>2.7999999988824098</v>
      </c>
      <c r="BY9" s="9">
        <v>1.79999999888241</v>
      </c>
      <c r="BZ9" s="9">
        <v>17.400000000372501</v>
      </c>
      <c r="CA9" s="9">
        <v>2.5999999996274701</v>
      </c>
      <c r="CB9" s="11">
        <v>653.39999999850897</v>
      </c>
      <c r="CC9" s="11">
        <v>352.19999999925398</v>
      </c>
      <c r="CD9" s="11">
        <v>71.600000001490102</v>
      </c>
      <c r="CE9" s="11">
        <v>78.599999997764797</v>
      </c>
      <c r="CF9" s="11">
        <v>648.70000000298</v>
      </c>
      <c r="CG9" s="11">
        <v>73.699999999254899</v>
      </c>
      <c r="CH9" s="9">
        <v>1.3000000007450501</v>
      </c>
      <c r="CI9" s="9">
        <v>1.3000000007450501</v>
      </c>
      <c r="CJ9" s="9">
        <v>0.80000000074505795</v>
      </c>
      <c r="CK9" s="9">
        <v>0.40000000037252897</v>
      </c>
      <c r="CL9" s="9">
        <v>1.0999999996274701</v>
      </c>
      <c r="CM9" s="9">
        <v>0.59999999962747097</v>
      </c>
    </row>
    <row r="10" spans="2:91" ht="16.5" thickTop="1" thickBot="1">
      <c r="B10" s="9">
        <v>0.80000000074505795</v>
      </c>
      <c r="C10" s="9">
        <v>0.70000000111758698</v>
      </c>
      <c r="D10" s="9">
        <v>0.79999999888241202</v>
      </c>
      <c r="E10" s="9">
        <v>0.80000000074505795</v>
      </c>
      <c r="F10" s="9">
        <v>0.80000000074505795</v>
      </c>
      <c r="G10" s="9">
        <v>0.80000000074505795</v>
      </c>
      <c r="H10" s="11">
        <v>25.5</v>
      </c>
      <c r="I10" s="11">
        <v>25.699999999254899</v>
      </c>
      <c r="J10" s="11">
        <v>26.599999997764801</v>
      </c>
      <c r="K10" s="11">
        <v>25.5</v>
      </c>
      <c r="L10" s="11">
        <v>25.800000000745001</v>
      </c>
      <c r="M10" s="11">
        <v>25.5</v>
      </c>
      <c r="N10" s="9">
        <v>9.9999999627470901E-2</v>
      </c>
      <c r="O10" s="9">
        <v>0</v>
      </c>
      <c r="P10" s="9">
        <v>0</v>
      </c>
      <c r="Q10" s="9">
        <v>0</v>
      </c>
      <c r="R10" s="9">
        <v>0</v>
      </c>
      <c r="S10" s="9">
        <v>9.9999999627470901E-2</v>
      </c>
      <c r="T10" s="11">
        <v>1.0999999996274701</v>
      </c>
      <c r="U10" s="11">
        <v>1.1999999992549399</v>
      </c>
      <c r="V10" s="11">
        <v>1.5</v>
      </c>
      <c r="W10" s="11">
        <v>1.5</v>
      </c>
      <c r="X10" s="11">
        <v>1.1999999992549399</v>
      </c>
      <c r="Y10" s="11">
        <v>1</v>
      </c>
      <c r="Z10" s="9">
        <v>39.400000002235103</v>
      </c>
      <c r="AA10" s="9">
        <v>39.199999999254899</v>
      </c>
      <c r="AB10" s="9">
        <v>36.498336837549665</v>
      </c>
      <c r="AC10" s="9">
        <v>38.800000000745001</v>
      </c>
      <c r="AD10" s="9">
        <v>39.099999997764797</v>
      </c>
      <c r="AE10" s="9">
        <v>38.400000002235103</v>
      </c>
      <c r="AF10" s="11">
        <v>9.9999999627470901E-2</v>
      </c>
      <c r="AG10" s="11">
        <v>0.20000000111758701</v>
      </c>
      <c r="AH10" s="11">
        <v>0.199999999254941</v>
      </c>
      <c r="AI10" s="11">
        <v>0.10000000149011599</v>
      </c>
      <c r="AJ10" s="11">
        <v>0.10000000149011599</v>
      </c>
      <c r="AK10" s="11">
        <v>0.199999999254941</v>
      </c>
      <c r="AL10" s="9">
        <v>1.70000000111758</v>
      </c>
      <c r="AM10" s="9">
        <v>1.3999999985098801</v>
      </c>
      <c r="AN10" s="9">
        <v>1.1999999992549399</v>
      </c>
      <c r="AO10" s="9">
        <v>1.0999999996274701</v>
      </c>
      <c r="AP10" s="9">
        <v>1.0999999996274701</v>
      </c>
      <c r="AQ10" s="9">
        <v>1.1999999992549399</v>
      </c>
      <c r="AR10" s="11">
        <v>39.699999999254899</v>
      </c>
      <c r="AS10" s="11">
        <v>39.399999998509799</v>
      </c>
      <c r="AT10" s="11">
        <v>39.5</v>
      </c>
      <c r="AU10" s="11">
        <v>34.199999999254899</v>
      </c>
      <c r="AV10" s="11">
        <v>38.699999999254899</v>
      </c>
      <c r="AW10" s="11">
        <v>38.399999998509799</v>
      </c>
      <c r="AX10" s="9">
        <v>0.39999999850988299</v>
      </c>
      <c r="AY10" s="9">
        <v>0.29999999701976698</v>
      </c>
      <c r="AZ10" s="9">
        <v>0.199999999254941</v>
      </c>
      <c r="BA10" s="9">
        <v>0.199999999254941</v>
      </c>
      <c r="BB10" s="9">
        <v>0.20000000298023199</v>
      </c>
      <c r="BC10" s="9">
        <v>0.300000000745058</v>
      </c>
      <c r="BD10" s="11">
        <v>7.8000000007450501</v>
      </c>
      <c r="BE10" s="11">
        <v>6.5</v>
      </c>
      <c r="BF10" s="11">
        <v>8.3999999985098803</v>
      </c>
      <c r="BG10" s="11">
        <v>9</v>
      </c>
      <c r="BH10" s="11">
        <v>5.8999999985098803</v>
      </c>
      <c r="BI10" s="11">
        <v>6.6999999992549402</v>
      </c>
      <c r="BJ10" s="9">
        <v>58</v>
      </c>
      <c r="BK10" s="9">
        <v>62.199999999254899</v>
      </c>
      <c r="BL10" s="9">
        <v>64.700000002980204</v>
      </c>
      <c r="BM10" s="9">
        <v>82.899999998509799</v>
      </c>
      <c r="BN10" s="9">
        <v>45.899999998509799</v>
      </c>
      <c r="BO10" s="9">
        <v>61.300000000745001</v>
      </c>
      <c r="BP10" s="11">
        <v>5.3000000007450501</v>
      </c>
      <c r="BQ10" s="11">
        <v>5.8000000007450501</v>
      </c>
      <c r="BR10" s="11">
        <v>6</v>
      </c>
      <c r="BS10" s="11">
        <v>6.6000000014901099</v>
      </c>
      <c r="BT10" s="11">
        <v>4.3999999985098803</v>
      </c>
      <c r="BU10" s="11">
        <v>5.3000000007450501</v>
      </c>
      <c r="BV10" s="9">
        <v>12.5</v>
      </c>
      <c r="BW10" s="9">
        <v>4.9000000003725201</v>
      </c>
      <c r="BX10" s="9">
        <v>1.5999999996274701</v>
      </c>
      <c r="BY10" s="9">
        <v>2</v>
      </c>
      <c r="BZ10" s="9">
        <v>8.4000000003725201</v>
      </c>
      <c r="CA10" s="9">
        <v>2.3000000007450501</v>
      </c>
      <c r="CB10" s="11">
        <v>653.5</v>
      </c>
      <c r="CC10" s="11">
        <v>351</v>
      </c>
      <c r="CD10" s="11">
        <v>70.800000000745001</v>
      </c>
      <c r="CE10" s="11">
        <v>78.099999997764797</v>
      </c>
      <c r="CF10" s="11">
        <v>630.80000000074494</v>
      </c>
      <c r="CG10" s="11">
        <v>74.099999997764797</v>
      </c>
      <c r="CH10" s="9">
        <v>0.90000000037252903</v>
      </c>
      <c r="CI10" s="9">
        <v>0.80000000074505795</v>
      </c>
      <c r="CJ10" s="9">
        <v>0.29999999888241202</v>
      </c>
      <c r="CK10" s="9">
        <v>0.59999999962747097</v>
      </c>
      <c r="CL10" s="9">
        <v>1.1999999992549399</v>
      </c>
      <c r="CM10" s="9">
        <v>0.69999999925494105</v>
      </c>
    </row>
    <row r="11" spans="2:91" ht="16.5" thickTop="1" thickBot="1">
      <c r="B11" s="9">
        <v>0.80000000074505795</v>
      </c>
      <c r="C11" s="9">
        <v>0.59999999962747097</v>
      </c>
      <c r="D11" s="9">
        <v>1.0999999996274701</v>
      </c>
      <c r="E11" s="9">
        <v>0.90000000037252903</v>
      </c>
      <c r="F11" s="9">
        <v>0.80000000074505795</v>
      </c>
      <c r="G11" s="9">
        <v>0.90000000037252903</v>
      </c>
      <c r="H11" s="11">
        <v>25.600000001490098</v>
      </c>
      <c r="I11" s="11">
        <v>25.600000001490098</v>
      </c>
      <c r="J11" s="11">
        <v>26.699999999254899</v>
      </c>
      <c r="K11" s="11">
        <v>25.199999999254899</v>
      </c>
      <c r="L11" s="11">
        <v>26</v>
      </c>
      <c r="M11" s="11">
        <v>25.300000000745001</v>
      </c>
      <c r="N11" s="9">
        <v>0</v>
      </c>
      <c r="O11" s="9">
        <v>9.9999999627470901E-2</v>
      </c>
      <c r="P11" s="9">
        <v>0</v>
      </c>
      <c r="Q11" s="9">
        <v>0</v>
      </c>
      <c r="R11" s="9">
        <v>0</v>
      </c>
      <c r="S11" s="9">
        <v>0</v>
      </c>
      <c r="T11" s="11">
        <v>1.1999999992549399</v>
      </c>
      <c r="U11" s="11">
        <v>1.0999999996274701</v>
      </c>
      <c r="V11" s="11">
        <v>2.1999999992549402</v>
      </c>
      <c r="W11" s="11">
        <v>1</v>
      </c>
      <c r="X11" s="11">
        <v>1.6999999992549399</v>
      </c>
      <c r="Y11" s="11">
        <v>1.3000000007450501</v>
      </c>
      <c r="Z11" s="9">
        <v>39.300000000745001</v>
      </c>
      <c r="AA11" s="9">
        <v>38.699999999254899</v>
      </c>
      <c r="AB11" s="9">
        <v>38.35918298267736</v>
      </c>
      <c r="AC11" s="9">
        <v>39.099999997764797</v>
      </c>
      <c r="AD11" s="9">
        <v>42.199999999254899</v>
      </c>
      <c r="AE11" s="9">
        <v>38</v>
      </c>
      <c r="AF11" s="11">
        <v>0.10000000149011599</v>
      </c>
      <c r="AG11" s="11">
        <v>0.199999999254941</v>
      </c>
      <c r="AH11" s="11">
        <v>0.199999999254941</v>
      </c>
      <c r="AI11" s="11">
        <v>9.9999999627470901E-2</v>
      </c>
      <c r="AJ11" s="11">
        <v>0.199999999254941</v>
      </c>
      <c r="AK11" s="11">
        <v>0.20000000111758701</v>
      </c>
      <c r="AL11" s="9">
        <v>1.1999999992549399</v>
      </c>
      <c r="AM11" s="9">
        <v>1.29999999888241</v>
      </c>
      <c r="AN11" s="9">
        <v>1</v>
      </c>
      <c r="AO11" s="9">
        <v>1.20000000111758</v>
      </c>
      <c r="AP11" s="9">
        <v>1.20000000111758</v>
      </c>
      <c r="AQ11" s="9">
        <v>1.1999999992549399</v>
      </c>
      <c r="AR11" s="11">
        <v>39.699999999254899</v>
      </c>
      <c r="AS11" s="11">
        <v>41.399999998509799</v>
      </c>
      <c r="AT11" s="11">
        <v>39.400000002235103</v>
      </c>
      <c r="AU11" s="11">
        <v>39.100000001490102</v>
      </c>
      <c r="AV11" s="11">
        <v>38.5</v>
      </c>
      <c r="AW11" s="11">
        <v>38.599999997764797</v>
      </c>
      <c r="AX11" s="9">
        <v>0.300000000745058</v>
      </c>
      <c r="AY11" s="9">
        <v>0.39999999850988299</v>
      </c>
      <c r="AZ11" s="9">
        <v>0.199999999254941</v>
      </c>
      <c r="BA11" s="9">
        <v>0.69999999925494105</v>
      </c>
      <c r="BB11" s="9">
        <v>0.10000000149011599</v>
      </c>
      <c r="BC11" s="9">
        <v>0.300000000745058</v>
      </c>
      <c r="BD11" s="11">
        <v>7.9000000022351697</v>
      </c>
      <c r="BE11" s="11">
        <v>6.6000000014901099</v>
      </c>
      <c r="BF11" s="11">
        <v>8.3000000007450492</v>
      </c>
      <c r="BG11" s="11">
        <v>8.5</v>
      </c>
      <c r="BH11" s="11">
        <v>6.7000000029802296</v>
      </c>
      <c r="BI11" s="11">
        <v>7.1999999992549402</v>
      </c>
      <c r="BJ11" s="9">
        <v>57.700000002980197</v>
      </c>
      <c r="BK11" s="9">
        <v>61.5</v>
      </c>
      <c r="BL11" s="9">
        <v>64.5</v>
      </c>
      <c r="BM11" s="9">
        <v>82.699999999254899</v>
      </c>
      <c r="BN11" s="9">
        <v>46</v>
      </c>
      <c r="BO11" s="9">
        <v>61.200000002980197</v>
      </c>
      <c r="BP11" s="11">
        <v>5.2000000029802296</v>
      </c>
      <c r="BQ11" s="11">
        <v>5.1000000014901099</v>
      </c>
      <c r="BR11" s="11">
        <v>6.1999999992549402</v>
      </c>
      <c r="BS11" s="11">
        <v>6.7999999970197598</v>
      </c>
      <c r="BT11" s="11">
        <v>4.3999999985098803</v>
      </c>
      <c r="BU11" s="11">
        <v>5.3999999985098803</v>
      </c>
      <c r="BV11" s="9">
        <v>7.5</v>
      </c>
      <c r="BW11" s="9">
        <v>5.3000000007450501</v>
      </c>
      <c r="BX11" s="9">
        <v>2.3000000007450501</v>
      </c>
      <c r="BY11" s="9">
        <v>3.4000000003725201</v>
      </c>
      <c r="BZ11" s="9">
        <v>13.5999999996274</v>
      </c>
      <c r="CA11" s="9">
        <v>2.5</v>
      </c>
      <c r="CB11" s="11">
        <v>645.89999999850897</v>
      </c>
      <c r="CC11" s="11">
        <v>358.5</v>
      </c>
      <c r="CD11" s="11">
        <v>69.300000000745001</v>
      </c>
      <c r="CE11" s="11">
        <v>78.899999998509799</v>
      </c>
      <c r="CF11" s="11">
        <v>656.5</v>
      </c>
      <c r="CG11" s="11">
        <v>74</v>
      </c>
      <c r="CH11" s="9">
        <v>1.0999999996274701</v>
      </c>
      <c r="CI11" s="9">
        <v>1</v>
      </c>
      <c r="CJ11" s="9">
        <v>0.29999999888241202</v>
      </c>
      <c r="CK11" s="9">
        <v>0.5</v>
      </c>
      <c r="CL11" s="9">
        <v>1.3000000007450501</v>
      </c>
      <c r="CM11" s="9">
        <v>0.39999999850988299</v>
      </c>
    </row>
    <row r="12" spans="2:91" ht="16.5" thickTop="1" thickBot="1">
      <c r="B12" s="9">
        <v>0.80000000074505795</v>
      </c>
      <c r="C12" s="9">
        <v>0.80000000074505795</v>
      </c>
      <c r="D12" s="9">
        <v>0.90000000037252903</v>
      </c>
      <c r="E12" s="9">
        <v>0.80000000074505795</v>
      </c>
      <c r="F12" s="9">
        <v>0.90000000037252903</v>
      </c>
      <c r="G12" s="9">
        <v>0.70000000111758698</v>
      </c>
      <c r="H12" s="11">
        <v>25.5</v>
      </c>
      <c r="I12" s="11">
        <v>25.699999999254899</v>
      </c>
      <c r="J12" s="11">
        <v>26.699999999254899</v>
      </c>
      <c r="K12" s="11">
        <v>25.5</v>
      </c>
      <c r="L12" s="11">
        <v>25.800000000745001</v>
      </c>
      <c r="M12" s="11">
        <v>25.300000000745001</v>
      </c>
      <c r="N12" s="9">
        <v>0</v>
      </c>
      <c r="O12" s="9">
        <v>9.9999999627470901E-2</v>
      </c>
      <c r="P12" s="9">
        <v>0</v>
      </c>
      <c r="Q12" s="9">
        <v>9.9999999627470901E-2</v>
      </c>
      <c r="R12" s="9">
        <v>0</v>
      </c>
      <c r="S12" s="9">
        <v>0</v>
      </c>
      <c r="T12" s="11">
        <v>0.90000000037252903</v>
      </c>
      <c r="U12" s="11">
        <v>1</v>
      </c>
      <c r="V12" s="11">
        <v>1.20000000111758</v>
      </c>
      <c r="W12" s="11">
        <v>1</v>
      </c>
      <c r="X12" s="11">
        <v>1</v>
      </c>
      <c r="Y12" s="11">
        <v>1</v>
      </c>
      <c r="Z12" s="9">
        <v>39.700000002980197</v>
      </c>
      <c r="AA12" s="9">
        <v>38.5</v>
      </c>
      <c r="AB12" s="9">
        <v>31.434433172949785</v>
      </c>
      <c r="AC12" s="9">
        <v>38.900000002235103</v>
      </c>
      <c r="AD12" s="9">
        <v>39.400000002235103</v>
      </c>
      <c r="AE12" s="9">
        <v>38.299999997019697</v>
      </c>
      <c r="AF12" s="11">
        <v>0.20000000111758701</v>
      </c>
      <c r="AG12" s="11">
        <v>0.199999999254941</v>
      </c>
      <c r="AH12" s="11">
        <v>0.29999999888241202</v>
      </c>
      <c r="AI12" s="11">
        <v>0.199999999254941</v>
      </c>
      <c r="AJ12" s="11">
        <v>0.10000000149011599</v>
      </c>
      <c r="AK12" s="11">
        <v>9.9999999627470901E-2</v>
      </c>
      <c r="AL12" s="9">
        <v>1.20000000111758</v>
      </c>
      <c r="AM12" s="9">
        <v>1.1999999992549399</v>
      </c>
      <c r="AN12" s="9">
        <v>1.20000000111758</v>
      </c>
      <c r="AO12" s="9">
        <v>1.1999999992549399</v>
      </c>
      <c r="AP12" s="9">
        <v>1.1999999992549399</v>
      </c>
      <c r="AQ12" s="9">
        <v>1.1999999992549399</v>
      </c>
      <c r="AR12" s="11">
        <v>44.5</v>
      </c>
      <c r="AS12" s="11">
        <v>39.599999997764797</v>
      </c>
      <c r="AT12" s="11">
        <v>39.599999997764797</v>
      </c>
      <c r="AU12" s="11">
        <v>39.199999999254899</v>
      </c>
      <c r="AV12" s="11">
        <v>38.899999998509799</v>
      </c>
      <c r="AW12" s="11">
        <v>38.199999999254899</v>
      </c>
      <c r="AX12" s="9">
        <v>0.29999999701976698</v>
      </c>
      <c r="AY12" s="9">
        <v>0.5</v>
      </c>
      <c r="AZ12" s="9">
        <v>0.300000000745058</v>
      </c>
      <c r="BA12" s="9">
        <v>0.300000000745058</v>
      </c>
      <c r="BB12" s="9">
        <v>0.300000000745058</v>
      </c>
      <c r="BC12" s="9">
        <v>0.300000000745058</v>
      </c>
      <c r="BD12" s="11">
        <v>8</v>
      </c>
      <c r="BE12" s="11">
        <v>6.6999999992549402</v>
      </c>
      <c r="BF12" s="11">
        <v>7.8999999985098803</v>
      </c>
      <c r="BG12" s="11">
        <v>8.8999999985098803</v>
      </c>
      <c r="BH12" s="11">
        <v>5.8000000007450501</v>
      </c>
      <c r="BI12" s="11">
        <v>6.8999999985098803</v>
      </c>
      <c r="BJ12" s="9">
        <v>58.099999997764797</v>
      </c>
      <c r="BK12" s="9">
        <v>62</v>
      </c>
      <c r="BL12" s="9">
        <v>64.699999999254899</v>
      </c>
      <c r="BM12" s="9">
        <v>82.399999998509799</v>
      </c>
      <c r="BN12" s="9">
        <v>46</v>
      </c>
      <c r="BO12" s="9">
        <v>60.699999999254899</v>
      </c>
      <c r="BP12" s="11">
        <v>5.0999999977648196</v>
      </c>
      <c r="BQ12" s="11">
        <v>5.1999999992549402</v>
      </c>
      <c r="BR12" s="11">
        <v>6</v>
      </c>
      <c r="BS12" s="11">
        <v>7.1999999992549402</v>
      </c>
      <c r="BT12" s="11">
        <v>4.5</v>
      </c>
      <c r="BU12" s="11">
        <v>5.1999999992549402</v>
      </c>
      <c r="BV12" s="9">
        <v>9.0999999996274692</v>
      </c>
      <c r="BW12" s="9">
        <v>5.9000000003725201</v>
      </c>
      <c r="BX12" s="9">
        <v>2</v>
      </c>
      <c r="BY12" s="9">
        <v>1.8000000007450501</v>
      </c>
      <c r="BZ12" s="9">
        <v>8.5999999996274692</v>
      </c>
      <c r="CA12" s="9">
        <v>2.2999999988824098</v>
      </c>
      <c r="CB12" s="11">
        <v>653.89999999850897</v>
      </c>
      <c r="CC12" s="11">
        <v>371.5</v>
      </c>
      <c r="CD12" s="11">
        <v>69</v>
      </c>
      <c r="CE12" s="11">
        <v>82.5</v>
      </c>
      <c r="CF12" s="11">
        <v>622.60000000149</v>
      </c>
      <c r="CG12" s="11">
        <v>73.399999998509799</v>
      </c>
      <c r="CH12" s="9">
        <v>1</v>
      </c>
      <c r="CI12" s="9">
        <v>0.80000000074505795</v>
      </c>
      <c r="CJ12" s="9">
        <v>0.300000000745058</v>
      </c>
      <c r="CK12" s="9">
        <v>0.29999999888241202</v>
      </c>
      <c r="CL12" s="9">
        <v>1.3000000007450501</v>
      </c>
      <c r="CM12" s="9">
        <v>0.5</v>
      </c>
    </row>
    <row r="13" spans="2:91" ht="16.5" thickTop="1" thickBot="1">
      <c r="B13" s="9">
        <v>0.90000000037252903</v>
      </c>
      <c r="C13" s="9">
        <v>0.70000000111758698</v>
      </c>
      <c r="D13" s="9">
        <v>1.0999999996274701</v>
      </c>
      <c r="E13" s="9">
        <v>1.29999999888241</v>
      </c>
      <c r="F13" s="9">
        <v>0.90000000037252903</v>
      </c>
      <c r="G13" s="9">
        <v>0.69999999925494105</v>
      </c>
      <c r="H13" s="11">
        <v>26.699999999254899</v>
      </c>
      <c r="I13" s="11">
        <v>25.600000001490098</v>
      </c>
      <c r="J13" s="11">
        <v>26.9000000022351</v>
      </c>
      <c r="K13" s="11">
        <v>25.599999997764801</v>
      </c>
      <c r="L13" s="11">
        <v>25.7000000029802</v>
      </c>
      <c r="M13" s="11">
        <v>25.5</v>
      </c>
      <c r="N13" s="9">
        <v>0</v>
      </c>
      <c r="O13" s="9">
        <v>0</v>
      </c>
      <c r="P13" s="9">
        <v>0</v>
      </c>
      <c r="Q13" s="9">
        <v>0.10000000149011599</v>
      </c>
      <c r="R13" s="9">
        <v>9.9999999627470901E-2</v>
      </c>
      <c r="S13" s="9">
        <v>0</v>
      </c>
      <c r="T13" s="11">
        <v>1.0999999996274701</v>
      </c>
      <c r="U13" s="11">
        <v>1.0999999996274701</v>
      </c>
      <c r="V13" s="11">
        <v>1.5</v>
      </c>
      <c r="W13" s="11">
        <v>1</v>
      </c>
      <c r="X13" s="11">
        <v>2.3000000007450501</v>
      </c>
      <c r="Y13" s="11">
        <v>1.1999999992549399</v>
      </c>
      <c r="Z13" s="9">
        <v>39.800000000745001</v>
      </c>
      <c r="AA13" s="9">
        <v>39.300000000745001</v>
      </c>
      <c r="AB13" s="9">
        <v>42.668629451917198</v>
      </c>
      <c r="AC13" s="9">
        <v>38.5</v>
      </c>
      <c r="AD13" s="9">
        <v>39.600000001490102</v>
      </c>
      <c r="AE13" s="9">
        <v>38.100000001490102</v>
      </c>
      <c r="AF13" s="11">
        <v>9.9999999627470901E-2</v>
      </c>
      <c r="AG13" s="11">
        <v>0.10000000149011599</v>
      </c>
      <c r="AH13" s="11">
        <v>0.199999999254941</v>
      </c>
      <c r="AI13" s="11">
        <v>9.9999999627470901E-2</v>
      </c>
      <c r="AJ13" s="11">
        <v>0.199999999254941</v>
      </c>
      <c r="AK13" s="11">
        <v>0.20000000111758701</v>
      </c>
      <c r="AL13" s="9">
        <v>1.1999999992549399</v>
      </c>
      <c r="AM13" s="9">
        <v>1.1999999992549399</v>
      </c>
      <c r="AN13" s="9">
        <v>1.1999999992549399</v>
      </c>
      <c r="AO13" s="9">
        <v>1.5999999996274701</v>
      </c>
      <c r="AP13" s="9">
        <v>1.0999999996274701</v>
      </c>
      <c r="AQ13" s="9">
        <v>1.1999999992549399</v>
      </c>
      <c r="AR13" s="11">
        <v>39.600000001490102</v>
      </c>
      <c r="AS13" s="11">
        <v>39.300000000745001</v>
      </c>
      <c r="AT13" s="11">
        <v>39</v>
      </c>
      <c r="AU13" s="11">
        <v>38.899999998509799</v>
      </c>
      <c r="AV13" s="11">
        <v>38.700000002980197</v>
      </c>
      <c r="AW13" s="11">
        <v>38.400000002235103</v>
      </c>
      <c r="AX13" s="9">
        <v>0.300000000745058</v>
      </c>
      <c r="AY13" s="9">
        <v>0.300000000745058</v>
      </c>
      <c r="AZ13" s="9">
        <v>0.69999999925494105</v>
      </c>
      <c r="BA13" s="9">
        <v>0.5</v>
      </c>
      <c r="BB13" s="9">
        <v>0.199999999254941</v>
      </c>
      <c r="BC13" s="9">
        <v>0.300000000745058</v>
      </c>
      <c r="BD13" s="11">
        <v>8</v>
      </c>
      <c r="BE13" s="11">
        <v>6.3999999985098803</v>
      </c>
      <c r="BF13" s="11">
        <v>7.3999999985098803</v>
      </c>
      <c r="BG13" s="11">
        <v>8.4000000022351706</v>
      </c>
      <c r="BH13" s="11">
        <v>6.1999999992549402</v>
      </c>
      <c r="BI13" s="11">
        <v>7</v>
      </c>
      <c r="BJ13" s="9">
        <v>58.699999999254899</v>
      </c>
      <c r="BK13" s="9">
        <v>61.800000000745001</v>
      </c>
      <c r="BL13" s="9">
        <v>64.699999999254899</v>
      </c>
      <c r="BM13" s="9">
        <v>82.399999998509799</v>
      </c>
      <c r="BN13" s="9">
        <v>45.600000001490102</v>
      </c>
      <c r="BO13" s="9">
        <v>61.199999999254899</v>
      </c>
      <c r="BP13" s="11">
        <v>5.2000000029802296</v>
      </c>
      <c r="BQ13" s="11">
        <v>5.1000000014901099</v>
      </c>
      <c r="BR13" s="11">
        <v>6</v>
      </c>
      <c r="BS13" s="11">
        <v>8.5</v>
      </c>
      <c r="BT13" s="11">
        <v>4.1000000014901099</v>
      </c>
      <c r="BU13" s="11">
        <v>5.1999999992549402</v>
      </c>
      <c r="BV13" s="9">
        <v>7.2999999988824102</v>
      </c>
      <c r="BW13" s="9">
        <v>8.1999999992549402</v>
      </c>
      <c r="BX13" s="9">
        <v>2.20000000111758</v>
      </c>
      <c r="BY13" s="9">
        <v>1.5</v>
      </c>
      <c r="BZ13" s="9">
        <v>11.199999999254899</v>
      </c>
      <c r="CA13" s="9">
        <v>2.9000000003725201</v>
      </c>
      <c r="CB13" s="11">
        <v>638.59999999776403</v>
      </c>
      <c r="CC13" s="11">
        <v>370.60000000149</v>
      </c>
      <c r="CD13" s="11">
        <v>65.199999999254899</v>
      </c>
      <c r="CE13" s="11">
        <v>79.599999997764797</v>
      </c>
      <c r="CF13" s="11">
        <v>631</v>
      </c>
      <c r="CG13" s="11">
        <v>73.800000000745001</v>
      </c>
      <c r="CH13" s="9">
        <v>1.1999999992549399</v>
      </c>
      <c r="CI13" s="9">
        <v>1</v>
      </c>
      <c r="CJ13" s="9">
        <v>0.300000000745058</v>
      </c>
      <c r="CK13" s="9">
        <v>0.40000000037252897</v>
      </c>
      <c r="CL13" s="9">
        <v>1.4000000003725199</v>
      </c>
      <c r="CM13" s="9">
        <v>0.40000000037252897</v>
      </c>
    </row>
    <row r="14" spans="2:91" ht="16.5" thickTop="1" thickBot="1">
      <c r="B14" s="9">
        <v>0.79999999888241202</v>
      </c>
      <c r="C14" s="9">
        <v>0.80000000074505795</v>
      </c>
      <c r="D14" s="9">
        <v>0.80000000074505795</v>
      </c>
      <c r="E14" s="9">
        <v>0.90000000037252903</v>
      </c>
      <c r="F14" s="9">
        <v>0.80000000074505795</v>
      </c>
      <c r="G14" s="9">
        <v>0.80000000074505795</v>
      </c>
      <c r="H14" s="11">
        <v>25.5</v>
      </c>
      <c r="I14" s="11">
        <v>25.800000000745001</v>
      </c>
      <c r="J14" s="11">
        <v>26.800000000745001</v>
      </c>
      <c r="K14" s="11">
        <v>25.2999999970197</v>
      </c>
      <c r="L14" s="11">
        <v>25.699999999254899</v>
      </c>
      <c r="M14" s="11">
        <v>25.5</v>
      </c>
      <c r="N14" s="9">
        <v>0</v>
      </c>
      <c r="O14" s="9">
        <v>0</v>
      </c>
      <c r="P14" s="9">
        <v>0</v>
      </c>
      <c r="Q14" s="9">
        <v>9.9999999627470901E-2</v>
      </c>
      <c r="R14" s="9">
        <v>0</v>
      </c>
      <c r="S14" s="9">
        <v>9.9999999627470901E-2</v>
      </c>
      <c r="T14" s="11">
        <v>1.0999999996274701</v>
      </c>
      <c r="U14" s="11">
        <v>1</v>
      </c>
      <c r="V14" s="11">
        <v>1.1000000014901099</v>
      </c>
      <c r="W14" s="11">
        <v>1.0999999996274701</v>
      </c>
      <c r="X14" s="11">
        <v>1</v>
      </c>
      <c r="Y14" s="11">
        <v>1</v>
      </c>
      <c r="Z14" s="9">
        <v>39.199999999254899</v>
      </c>
      <c r="AA14" s="9">
        <v>39.200000002980197</v>
      </c>
      <c r="AB14" s="9">
        <v>41.752742058858495</v>
      </c>
      <c r="AC14" s="9">
        <v>38.899999998509799</v>
      </c>
      <c r="AD14" s="9">
        <v>39.899999998509799</v>
      </c>
      <c r="AE14" s="9">
        <v>38.199999999254899</v>
      </c>
      <c r="AF14" s="11">
        <v>0.10000000149011599</v>
      </c>
      <c r="AG14" s="11">
        <v>0.29999999888241202</v>
      </c>
      <c r="AH14" s="11">
        <v>9.9999999627470901E-2</v>
      </c>
      <c r="AI14" s="11">
        <v>0.40000000037252897</v>
      </c>
      <c r="AJ14" s="11">
        <v>0.199999999254941</v>
      </c>
      <c r="AK14" s="11">
        <v>0.20000000111758701</v>
      </c>
      <c r="AL14" s="9">
        <v>1.1999999992549399</v>
      </c>
      <c r="AM14" s="9">
        <v>1.3000000007450501</v>
      </c>
      <c r="AN14" s="9">
        <v>1.1999999992549399</v>
      </c>
      <c r="AO14" s="9">
        <v>1.1000000014901099</v>
      </c>
      <c r="AP14" s="9">
        <v>1.0999999996274701</v>
      </c>
      <c r="AQ14" s="9">
        <v>1.1999999992549399</v>
      </c>
      <c r="AR14" s="11">
        <v>39.699999999254899</v>
      </c>
      <c r="AS14" s="11">
        <v>39.600000001490102</v>
      </c>
      <c r="AT14" s="11">
        <v>39.599999997764797</v>
      </c>
      <c r="AU14" s="11">
        <v>40.400000002235103</v>
      </c>
      <c r="AV14" s="11">
        <v>38.699999999254899</v>
      </c>
      <c r="AW14" s="11">
        <v>38.599999997764797</v>
      </c>
      <c r="AX14" s="9">
        <v>0.20000000298023199</v>
      </c>
      <c r="AY14" s="9">
        <v>0.300000000745058</v>
      </c>
      <c r="AZ14" s="9">
        <v>0.199999999254941</v>
      </c>
      <c r="BA14" s="9">
        <v>0.5</v>
      </c>
      <c r="BB14" s="9">
        <v>0.20000000298023199</v>
      </c>
      <c r="BC14" s="9">
        <v>0.20000000298023199</v>
      </c>
      <c r="BD14" s="11">
        <v>7.6999999992549402</v>
      </c>
      <c r="BE14" s="11">
        <v>6.5</v>
      </c>
      <c r="BF14" s="11">
        <v>8</v>
      </c>
      <c r="BG14" s="11">
        <v>8.4000000022351706</v>
      </c>
      <c r="BH14" s="11">
        <v>9</v>
      </c>
      <c r="BI14" s="11">
        <v>6.7000000029802296</v>
      </c>
      <c r="BJ14" s="9">
        <v>57.800000000745001</v>
      </c>
      <c r="BK14" s="9">
        <v>61.800000000745001</v>
      </c>
      <c r="BL14" s="9">
        <v>64.5</v>
      </c>
      <c r="BM14" s="9">
        <v>82.800000000745001</v>
      </c>
      <c r="BN14" s="9">
        <v>45.899999998509799</v>
      </c>
      <c r="BO14" s="9">
        <v>61.100000001490102</v>
      </c>
      <c r="BP14" s="11">
        <v>5.9000000022351697</v>
      </c>
      <c r="BQ14" s="11">
        <v>5.0999999977648196</v>
      </c>
      <c r="BR14" s="11">
        <v>5.8999999985098803</v>
      </c>
      <c r="BS14" s="11">
        <v>6.6000000014901099</v>
      </c>
      <c r="BT14" s="11">
        <v>4.3999999985098803</v>
      </c>
      <c r="BU14" s="11">
        <v>5.6999999992549402</v>
      </c>
      <c r="BV14" s="9">
        <v>9.7999999988824094</v>
      </c>
      <c r="BW14" s="9">
        <v>8.20000000111758</v>
      </c>
      <c r="BX14" s="9">
        <v>1.8000000007450501</v>
      </c>
      <c r="BY14" s="9">
        <v>1.5999999996274701</v>
      </c>
      <c r="BZ14" s="9">
        <v>9.8000000007450492</v>
      </c>
      <c r="CA14" s="9">
        <v>2.3000000007450501</v>
      </c>
      <c r="CB14" s="11">
        <v>655.59999999776403</v>
      </c>
      <c r="CC14" s="11">
        <v>345.10000000149</v>
      </c>
      <c r="CD14" s="11">
        <v>63.400000002235103</v>
      </c>
      <c r="CE14" s="11">
        <v>79.600000001490102</v>
      </c>
      <c r="CF14" s="11">
        <v>663.19999999925403</v>
      </c>
      <c r="CG14" s="11">
        <v>74.299999997019697</v>
      </c>
      <c r="CH14" s="9">
        <v>1.1999999992549399</v>
      </c>
      <c r="CI14" s="9">
        <v>1.3000000007450501</v>
      </c>
      <c r="CJ14" s="9">
        <v>0.5</v>
      </c>
      <c r="CK14" s="9">
        <v>0.69999999925494105</v>
      </c>
      <c r="CL14" s="9">
        <v>0.90000000037252903</v>
      </c>
      <c r="CM14" s="9">
        <v>0.80000000074505795</v>
      </c>
    </row>
    <row r="15" spans="2:91" ht="16.5" thickTop="1" thickBot="1">
      <c r="B15" s="9">
        <v>0.70000000111758698</v>
      </c>
      <c r="C15" s="9">
        <v>0.80000000074505795</v>
      </c>
      <c r="D15" s="9">
        <v>0.90000000037252903</v>
      </c>
      <c r="E15" s="9">
        <v>1.29999999888241</v>
      </c>
      <c r="F15" s="9">
        <v>0.80000000074505795</v>
      </c>
      <c r="G15" s="9">
        <v>0.80000000074505795</v>
      </c>
      <c r="H15" s="11">
        <v>25.600000001490098</v>
      </c>
      <c r="I15" s="11">
        <v>25.600000001490098</v>
      </c>
      <c r="J15" s="11">
        <v>26.800000000745001</v>
      </c>
      <c r="K15" s="11">
        <v>35.5</v>
      </c>
      <c r="L15" s="11">
        <v>26</v>
      </c>
      <c r="M15" s="11">
        <v>25.199999999254899</v>
      </c>
      <c r="N15" s="9">
        <v>0</v>
      </c>
      <c r="O15" s="9">
        <v>0.10000000149011599</v>
      </c>
      <c r="P15" s="9">
        <v>0</v>
      </c>
      <c r="Q15" s="9">
        <v>0</v>
      </c>
      <c r="R15" s="9">
        <v>0</v>
      </c>
      <c r="S15" s="9">
        <v>0</v>
      </c>
      <c r="T15" s="11">
        <v>1</v>
      </c>
      <c r="U15" s="11">
        <v>2.0999999996274701</v>
      </c>
      <c r="V15" s="11">
        <v>1.4000000003725199</v>
      </c>
      <c r="W15" s="11">
        <v>1.0999999996274701</v>
      </c>
      <c r="X15" s="11">
        <v>1</v>
      </c>
      <c r="Y15" s="11">
        <v>1.0999999996274701</v>
      </c>
      <c r="Z15" s="9">
        <v>39.800000000745001</v>
      </c>
      <c r="AA15" s="9">
        <v>39.199999999254899</v>
      </c>
      <c r="AB15" s="9">
        <v>35.891098645917367</v>
      </c>
      <c r="AC15" s="9">
        <v>38.900000002235103</v>
      </c>
      <c r="AD15" s="9">
        <v>39.699999999254899</v>
      </c>
      <c r="AE15" s="9">
        <v>37.900000002235103</v>
      </c>
      <c r="AF15" s="11">
        <v>0.29999999888241202</v>
      </c>
      <c r="AG15" s="11">
        <v>0.199999999254941</v>
      </c>
      <c r="AH15" s="11">
        <v>9.9999999627470901E-2</v>
      </c>
      <c r="AI15" s="11">
        <v>0.20000000111758701</v>
      </c>
      <c r="AJ15" s="11">
        <v>0.199999999254941</v>
      </c>
      <c r="AK15" s="11">
        <v>0.199999999254941</v>
      </c>
      <c r="AL15" s="9">
        <v>1.1999999992549399</v>
      </c>
      <c r="AM15" s="9">
        <v>1.29999999888241</v>
      </c>
      <c r="AN15" s="9">
        <v>1.20000000111758</v>
      </c>
      <c r="AO15" s="9">
        <v>1.3000000007450501</v>
      </c>
      <c r="AP15" s="9">
        <v>1.0999999996274701</v>
      </c>
      <c r="AQ15" s="9">
        <v>1.20000000111758</v>
      </c>
      <c r="AR15" s="11">
        <v>43.199999999254899</v>
      </c>
      <c r="AS15" s="11">
        <v>39.5</v>
      </c>
      <c r="AT15" s="11">
        <v>39.700000002980197</v>
      </c>
      <c r="AU15" s="11">
        <v>39.399999998509799</v>
      </c>
      <c r="AV15" s="11">
        <v>38.5</v>
      </c>
      <c r="AW15" s="11">
        <v>38.300000000745001</v>
      </c>
      <c r="AX15" s="9">
        <v>0.199999999254941</v>
      </c>
      <c r="AY15" s="9">
        <v>0.39999999850988299</v>
      </c>
      <c r="AZ15" s="9">
        <v>0.300000000745058</v>
      </c>
      <c r="BA15" s="9">
        <v>0.5</v>
      </c>
      <c r="BB15" s="9">
        <v>0.300000000745058</v>
      </c>
      <c r="BC15" s="9">
        <v>0.199999999254941</v>
      </c>
      <c r="BD15" s="11">
        <v>7.5999999977648196</v>
      </c>
      <c r="BE15" s="11">
        <v>6.5</v>
      </c>
      <c r="BF15" s="11">
        <v>7.9000000022351697</v>
      </c>
      <c r="BG15" s="11">
        <v>8.6999999992549402</v>
      </c>
      <c r="BH15" s="11">
        <v>9</v>
      </c>
      <c r="BI15" s="11">
        <v>6.6000000014901099</v>
      </c>
      <c r="BJ15" s="9">
        <v>57.600000001490102</v>
      </c>
      <c r="BK15" s="9">
        <v>61.900000002235103</v>
      </c>
      <c r="BL15" s="9">
        <v>65.899999998509799</v>
      </c>
      <c r="BM15" s="9">
        <v>82.800000000745001</v>
      </c>
      <c r="BN15" s="9">
        <v>46.200000002980197</v>
      </c>
      <c r="BO15" s="9">
        <v>70.5</v>
      </c>
      <c r="BP15" s="11">
        <v>5.1000000014901099</v>
      </c>
      <c r="BQ15" s="11">
        <v>5</v>
      </c>
      <c r="BR15" s="11">
        <v>5.8999999985098803</v>
      </c>
      <c r="BS15" s="11">
        <v>6.6999999992549402</v>
      </c>
      <c r="BT15" s="11">
        <v>4.5</v>
      </c>
      <c r="BU15" s="11">
        <v>5.1999999992549402</v>
      </c>
      <c r="BV15" s="9">
        <v>7.2999999988824102</v>
      </c>
      <c r="BW15" s="9">
        <v>6.1999999992549402</v>
      </c>
      <c r="BX15" s="9">
        <v>3.7999999988824098</v>
      </c>
      <c r="BY15" s="9">
        <v>1.8999999985098801</v>
      </c>
      <c r="BZ15" s="9">
        <v>11.5</v>
      </c>
      <c r="CA15" s="9">
        <v>4.5</v>
      </c>
      <c r="CB15" s="11">
        <v>675.39999999850897</v>
      </c>
      <c r="CC15" s="11">
        <v>369.60000000149</v>
      </c>
      <c r="CD15" s="11">
        <v>69.399999998509799</v>
      </c>
      <c r="CE15" s="11">
        <v>79.399999998509799</v>
      </c>
      <c r="CF15" s="11">
        <v>644.5</v>
      </c>
      <c r="CG15" s="11">
        <v>74.100000001490102</v>
      </c>
      <c r="CH15" s="9">
        <v>1.0999999996274701</v>
      </c>
      <c r="CI15" s="9">
        <v>1</v>
      </c>
      <c r="CJ15" s="9">
        <v>0.90000000037252903</v>
      </c>
      <c r="CK15" s="9">
        <v>0.40000000037252897</v>
      </c>
      <c r="CL15" s="9">
        <v>1</v>
      </c>
      <c r="CM15" s="9">
        <v>0.59999999962747097</v>
      </c>
    </row>
    <row r="16" spans="2:91" ht="16.5" thickTop="1" thickBot="1">
      <c r="B16" s="9">
        <v>0.79999999888241202</v>
      </c>
      <c r="C16" s="9">
        <v>0.90000000037252903</v>
      </c>
      <c r="D16" s="9">
        <v>0.90000000037252903</v>
      </c>
      <c r="E16" s="9">
        <v>1.8999999985098801</v>
      </c>
      <c r="F16" s="9">
        <v>0.89999999850988299</v>
      </c>
      <c r="G16" s="9">
        <v>0.70000000111758698</v>
      </c>
      <c r="H16" s="11">
        <v>25.300000000745001</v>
      </c>
      <c r="I16" s="11">
        <v>25.699999999254899</v>
      </c>
      <c r="J16" s="11">
        <v>26.699999999254899</v>
      </c>
      <c r="K16" s="11">
        <v>27.5</v>
      </c>
      <c r="L16" s="11">
        <v>25.699999999254899</v>
      </c>
      <c r="M16" s="11">
        <v>25.399999998509799</v>
      </c>
      <c r="N16" s="9">
        <v>9.9999999627470901E-2</v>
      </c>
      <c r="O16" s="9">
        <v>0.10000000149011599</v>
      </c>
      <c r="P16" s="9">
        <v>0</v>
      </c>
      <c r="Q16" s="9">
        <v>9.9999999627470901E-2</v>
      </c>
      <c r="R16" s="9">
        <v>0</v>
      </c>
      <c r="S16" s="9">
        <v>0</v>
      </c>
      <c r="T16" s="11">
        <v>1.0999999996274701</v>
      </c>
      <c r="U16" s="11">
        <v>1.0999999996274701</v>
      </c>
      <c r="V16" s="11">
        <v>1</v>
      </c>
      <c r="W16" s="11">
        <v>1</v>
      </c>
      <c r="X16" s="11">
        <v>1.0999999996274701</v>
      </c>
      <c r="Y16" s="11">
        <v>1.20000000111758</v>
      </c>
      <c r="Z16" s="9">
        <v>39.600000001490102</v>
      </c>
      <c r="AA16" s="9">
        <v>39.300000000745001</v>
      </c>
      <c r="AB16" s="9">
        <v>38.185692036275867</v>
      </c>
      <c r="AC16" s="9">
        <v>38.300000000745001</v>
      </c>
      <c r="AD16" s="9">
        <v>39.300000000745001</v>
      </c>
      <c r="AE16" s="9">
        <v>38.300000000745001</v>
      </c>
      <c r="AF16" s="11">
        <v>0.20000000111758701</v>
      </c>
      <c r="AG16" s="11">
        <v>0.20000000111758701</v>
      </c>
      <c r="AH16" s="11">
        <v>0.199999999254941</v>
      </c>
      <c r="AI16" s="11">
        <v>0.20000000111758701</v>
      </c>
      <c r="AJ16" s="11">
        <v>0.199999999254941</v>
      </c>
      <c r="AK16" s="11">
        <v>0.29999999888241202</v>
      </c>
      <c r="AL16" s="9">
        <v>1.1999999992549399</v>
      </c>
      <c r="AM16" s="9">
        <v>1.1999999992549399</v>
      </c>
      <c r="AN16" s="9">
        <v>1.1999999992549399</v>
      </c>
      <c r="AO16" s="9">
        <v>1.20000000111758</v>
      </c>
      <c r="AP16" s="9">
        <v>1.20000000111758</v>
      </c>
      <c r="AQ16" s="9">
        <v>1.20000000111758</v>
      </c>
      <c r="AR16" s="11">
        <v>39.5</v>
      </c>
      <c r="AS16" s="11">
        <v>38.800000000745001</v>
      </c>
      <c r="AT16" s="11">
        <v>39.600000001490102</v>
      </c>
      <c r="AU16" s="11">
        <v>38.800000000745001</v>
      </c>
      <c r="AV16" s="11">
        <v>38.699999999254899</v>
      </c>
      <c r="AW16" s="11">
        <v>38.700000002980197</v>
      </c>
      <c r="AX16" s="9">
        <v>0.199999999254941</v>
      </c>
      <c r="AY16" s="9">
        <v>0.40000000223517401</v>
      </c>
      <c r="AZ16" s="9">
        <v>0.29999999701976698</v>
      </c>
      <c r="BA16" s="9">
        <v>0.5</v>
      </c>
      <c r="BB16" s="9">
        <v>0.300000000745058</v>
      </c>
      <c r="BC16" s="9">
        <v>0.199999999254941</v>
      </c>
      <c r="BD16" s="11">
        <v>7.6000000014901099</v>
      </c>
      <c r="BE16" s="11">
        <v>6.6000000014901099</v>
      </c>
      <c r="BF16" s="11">
        <v>7.9000000022351697</v>
      </c>
      <c r="BG16" s="11">
        <v>9.1999999992549402</v>
      </c>
      <c r="BH16" s="11">
        <v>11.099999997764799</v>
      </c>
      <c r="BI16" s="11">
        <v>6.6000000014901099</v>
      </c>
      <c r="BJ16" s="9">
        <v>58</v>
      </c>
      <c r="BK16" s="9">
        <v>61.799999997019697</v>
      </c>
      <c r="BL16" s="9">
        <v>64.800000000745001</v>
      </c>
      <c r="BM16" s="9">
        <v>82.900000002235103</v>
      </c>
      <c r="BN16" s="9">
        <v>45.900000002235103</v>
      </c>
      <c r="BO16" s="9">
        <v>60.199999999254899</v>
      </c>
      <c r="BP16" s="11">
        <v>5.1999999992549402</v>
      </c>
      <c r="BQ16" s="11">
        <v>5.1999999992549402</v>
      </c>
      <c r="BR16" s="11">
        <v>6</v>
      </c>
      <c r="BS16" s="11">
        <v>6.7000000029802296</v>
      </c>
      <c r="BT16" s="11">
        <v>3.8999999985098799</v>
      </c>
      <c r="BU16" s="11">
        <v>5.3000000007450501</v>
      </c>
      <c r="BV16" s="9">
        <v>12.300000000744999</v>
      </c>
      <c r="BW16" s="9">
        <v>5.20000000111758</v>
      </c>
      <c r="BX16" s="9">
        <v>1.8000000007450501</v>
      </c>
      <c r="BY16" s="9">
        <v>3.3000000007450501</v>
      </c>
      <c r="BZ16" s="9">
        <v>8.70000000111758</v>
      </c>
      <c r="CA16" s="9">
        <v>2.4000000003725201</v>
      </c>
      <c r="CB16" s="11">
        <v>668.5</v>
      </c>
      <c r="CC16" s="11">
        <v>369.89999999850897</v>
      </c>
      <c r="CD16" s="11">
        <v>65.099999997764797</v>
      </c>
      <c r="CE16" s="11">
        <v>79.400000002235103</v>
      </c>
      <c r="CF16" s="11">
        <v>660.79999999701897</v>
      </c>
      <c r="CG16" s="11">
        <v>73.5</v>
      </c>
      <c r="CH16" s="9">
        <v>0.90000000037252903</v>
      </c>
      <c r="CI16" s="9">
        <v>1.29999999888241</v>
      </c>
      <c r="CJ16" s="9">
        <v>0.5</v>
      </c>
      <c r="CK16" s="9">
        <v>0.40000000037252897</v>
      </c>
      <c r="CL16" s="9">
        <v>0.80000000074505795</v>
      </c>
      <c r="CM16" s="9">
        <v>0.5</v>
      </c>
    </row>
    <row r="17" spans="1:91" ht="16.5" thickTop="1" thickBot="1">
      <c r="B17" s="9">
        <v>0.70000000111758698</v>
      </c>
      <c r="C17" s="9">
        <v>0.69999999925494105</v>
      </c>
      <c r="D17" s="9">
        <v>0.80000000074505795</v>
      </c>
      <c r="E17" s="9">
        <v>1.29999999888241</v>
      </c>
      <c r="F17" s="9">
        <v>1.0999999996274701</v>
      </c>
      <c r="G17" s="9">
        <v>0.80000000074505795</v>
      </c>
      <c r="H17" s="11">
        <v>25.5</v>
      </c>
      <c r="I17" s="11">
        <v>25.600000001490098</v>
      </c>
      <c r="J17" s="11">
        <v>26.699999999254899</v>
      </c>
      <c r="K17" s="11">
        <v>25.399999998509799</v>
      </c>
      <c r="L17" s="11">
        <v>25.699999999254899</v>
      </c>
      <c r="M17" s="11">
        <v>25.100000001490098</v>
      </c>
      <c r="N17" s="9">
        <v>9.9999999627470901E-2</v>
      </c>
      <c r="O17" s="9">
        <v>0.10000000149011599</v>
      </c>
      <c r="P17" s="9">
        <v>0</v>
      </c>
      <c r="Q17" s="9">
        <v>9.9999999627470901E-2</v>
      </c>
      <c r="R17" s="9">
        <v>0</v>
      </c>
      <c r="S17" s="9">
        <v>9.9999999627470901E-2</v>
      </c>
      <c r="T17" s="11">
        <v>1</v>
      </c>
      <c r="U17" s="11">
        <v>1.29999999888241</v>
      </c>
      <c r="V17" s="11">
        <v>1.29999999888241</v>
      </c>
      <c r="W17" s="11">
        <v>0.90000000037252903</v>
      </c>
      <c r="X17" s="11">
        <v>1.0999999996274701</v>
      </c>
      <c r="Y17" s="11">
        <v>1</v>
      </c>
      <c r="Z17" s="9">
        <v>39.399999998509799</v>
      </c>
      <c r="AA17" s="9">
        <v>39.5</v>
      </c>
      <c r="AB17" s="9">
        <v>35.236749918526741</v>
      </c>
      <c r="AC17" s="9">
        <v>38.199999999254899</v>
      </c>
      <c r="AD17" s="9">
        <v>39.699999999254899</v>
      </c>
      <c r="AE17" s="9">
        <v>38.099999997764797</v>
      </c>
      <c r="AF17" s="11">
        <v>0.10000000149011599</v>
      </c>
      <c r="AG17" s="11">
        <v>9.9999999627470901E-2</v>
      </c>
      <c r="AH17" s="11">
        <v>0.20000000111758701</v>
      </c>
      <c r="AI17" s="11">
        <v>9.9999999627470901E-2</v>
      </c>
      <c r="AJ17" s="11">
        <v>0.199999999254941</v>
      </c>
      <c r="AK17" s="11">
        <v>0.20000000111758701</v>
      </c>
      <c r="AL17" s="9">
        <v>1.1000000014901099</v>
      </c>
      <c r="AM17" s="9">
        <v>1.29999999888241</v>
      </c>
      <c r="AN17" s="9">
        <v>1.1999999992549399</v>
      </c>
      <c r="AO17" s="9">
        <v>1.1999999992549399</v>
      </c>
      <c r="AP17" s="9">
        <v>1.1999999992549399</v>
      </c>
      <c r="AQ17" s="9">
        <v>1.1999999992549399</v>
      </c>
      <c r="AR17" s="11">
        <v>40.199999999254899</v>
      </c>
      <c r="AS17" s="11">
        <v>39.099999997764797</v>
      </c>
      <c r="AT17" s="11">
        <v>39.5</v>
      </c>
      <c r="AU17" s="11">
        <v>38.899999998509799</v>
      </c>
      <c r="AV17" s="11">
        <v>38.699999999254899</v>
      </c>
      <c r="AW17" s="11">
        <v>38.199999999254899</v>
      </c>
      <c r="AX17" s="9">
        <v>0.199999999254941</v>
      </c>
      <c r="AY17" s="9">
        <v>0.20000000298023199</v>
      </c>
      <c r="AZ17" s="9">
        <v>0.60000000149011601</v>
      </c>
      <c r="BA17" s="9">
        <v>1.1999999992549399</v>
      </c>
      <c r="BB17" s="9">
        <v>0.199999999254941</v>
      </c>
      <c r="BC17" s="9">
        <v>0.5</v>
      </c>
      <c r="BD17" s="11">
        <v>8.0999999977648205</v>
      </c>
      <c r="BE17" s="11">
        <v>6.3999999985098803</v>
      </c>
      <c r="BF17" s="11">
        <v>8.1999999992549402</v>
      </c>
      <c r="BG17" s="11">
        <v>8.3000000007450492</v>
      </c>
      <c r="BH17" s="11">
        <v>6.8999999985098803</v>
      </c>
      <c r="BI17" s="11">
        <v>6.5</v>
      </c>
      <c r="BJ17" s="9">
        <v>58</v>
      </c>
      <c r="BK17" s="9">
        <v>61.699999999254899</v>
      </c>
      <c r="BL17" s="9">
        <v>64.699999999254899</v>
      </c>
      <c r="BM17" s="9">
        <v>83.300000000745001</v>
      </c>
      <c r="BN17" s="9">
        <v>46.699999999254899</v>
      </c>
      <c r="BO17" s="9">
        <v>70</v>
      </c>
      <c r="BP17" s="11">
        <v>5.3000000007450501</v>
      </c>
      <c r="BQ17" s="11">
        <v>5.1999999992549402</v>
      </c>
      <c r="BR17" s="11">
        <v>5.9000000022351697</v>
      </c>
      <c r="BS17" s="11">
        <v>6.6999999992549402</v>
      </c>
      <c r="BT17" s="11">
        <v>4</v>
      </c>
      <c r="BU17" s="11">
        <v>5.3000000007450501</v>
      </c>
      <c r="BV17" s="9">
        <v>8.5</v>
      </c>
      <c r="BW17" s="9">
        <v>6.5</v>
      </c>
      <c r="BX17" s="9">
        <v>2.5</v>
      </c>
      <c r="BY17" s="9">
        <v>1.5999999996274701</v>
      </c>
      <c r="BZ17" s="9">
        <v>10</v>
      </c>
      <c r="CA17" s="9">
        <v>2.3000000007450501</v>
      </c>
      <c r="CB17" s="11">
        <v>676.20000000298</v>
      </c>
      <c r="CC17" s="11">
        <v>341.39999999850897</v>
      </c>
      <c r="CD17" s="11">
        <v>67.699999999254899</v>
      </c>
      <c r="CE17" s="11">
        <v>80</v>
      </c>
      <c r="CF17" s="11">
        <v>637.30000000074494</v>
      </c>
      <c r="CG17" s="11">
        <v>74.300000000745001</v>
      </c>
      <c r="CH17" s="9">
        <v>1.5999999996274701</v>
      </c>
      <c r="CI17" s="9">
        <v>0.69999999925494105</v>
      </c>
      <c r="CJ17" s="9">
        <v>0.59999999962747097</v>
      </c>
      <c r="CK17" s="9">
        <v>0.70000000111758698</v>
      </c>
      <c r="CL17" s="9">
        <v>1.8000000007450501</v>
      </c>
      <c r="CM17" s="9">
        <v>0.5</v>
      </c>
    </row>
    <row r="18" spans="1:91" ht="16.5" thickTop="1" thickBot="1">
      <c r="B18" s="9">
        <v>1</v>
      </c>
      <c r="C18" s="9">
        <v>0.79999999888241202</v>
      </c>
      <c r="D18" s="9">
        <v>0.80000000074505795</v>
      </c>
      <c r="E18" s="9">
        <v>0.90000000037252903</v>
      </c>
      <c r="F18" s="9">
        <v>1</v>
      </c>
      <c r="G18" s="9">
        <v>0.69999999925494105</v>
      </c>
      <c r="H18" s="11">
        <v>25.5</v>
      </c>
      <c r="I18" s="11">
        <v>25.599999997764801</v>
      </c>
      <c r="J18" s="11">
        <v>26.7999999970197</v>
      </c>
      <c r="K18" s="11">
        <v>25.5</v>
      </c>
      <c r="L18" s="11">
        <v>26</v>
      </c>
      <c r="M18" s="11">
        <v>25.300000000745001</v>
      </c>
      <c r="N18" s="9">
        <v>0</v>
      </c>
      <c r="O18" s="9">
        <v>9.9999999627470901E-2</v>
      </c>
      <c r="P18" s="9">
        <v>9.9999999627470901E-2</v>
      </c>
      <c r="Q18" s="9">
        <v>0</v>
      </c>
      <c r="R18" s="9">
        <v>0</v>
      </c>
      <c r="S18" s="9">
        <v>0</v>
      </c>
      <c r="T18" s="11">
        <v>1.1000000014901099</v>
      </c>
      <c r="U18" s="11">
        <v>1.3000000007450501</v>
      </c>
      <c r="V18" s="11">
        <v>1.3000000007450501</v>
      </c>
      <c r="W18" s="11">
        <v>1.0999999996274701</v>
      </c>
      <c r="X18" s="11">
        <v>1.0999999996274701</v>
      </c>
      <c r="Y18" s="11">
        <v>1</v>
      </c>
      <c r="Z18" s="9">
        <v>39.399999998509799</v>
      </c>
      <c r="AA18" s="9">
        <v>39.5</v>
      </c>
      <c r="AB18" s="9">
        <v>39.013315810330113</v>
      </c>
      <c r="AC18" s="9">
        <v>38.800000000745001</v>
      </c>
      <c r="AD18" s="9">
        <v>39.800000000745001</v>
      </c>
      <c r="AE18" s="9">
        <v>38.399999998509799</v>
      </c>
      <c r="AF18" s="11">
        <v>9.9999999627470901E-2</v>
      </c>
      <c r="AG18" s="11">
        <v>9.9999999627470901E-2</v>
      </c>
      <c r="AH18" s="11">
        <v>0.300000000745058</v>
      </c>
      <c r="AI18" s="11">
        <v>0.199999999254941</v>
      </c>
      <c r="AJ18" s="11">
        <v>0.20000000111758701</v>
      </c>
      <c r="AK18" s="11">
        <v>0.10000000149011599</v>
      </c>
      <c r="AL18" s="9">
        <v>1.20000000111758</v>
      </c>
      <c r="AM18" s="9">
        <v>1.1999999992549399</v>
      </c>
      <c r="AN18" s="9">
        <v>1.20000000111758</v>
      </c>
      <c r="AO18" s="9">
        <v>1.0999999996274701</v>
      </c>
      <c r="AP18" s="9">
        <v>1.1999999992549399</v>
      </c>
      <c r="AQ18" s="9">
        <v>1.0999999996274701</v>
      </c>
      <c r="AR18" s="11">
        <v>39.600000001490102</v>
      </c>
      <c r="AS18" s="11">
        <v>39</v>
      </c>
      <c r="AT18" s="11">
        <v>39</v>
      </c>
      <c r="AU18" s="11">
        <v>38.800000000745001</v>
      </c>
      <c r="AV18" s="11">
        <v>38.699999999254899</v>
      </c>
      <c r="AW18" s="11">
        <v>38.300000000745001</v>
      </c>
      <c r="AX18" s="9">
        <v>0.199999999254941</v>
      </c>
      <c r="AY18" s="9">
        <v>0.29999999701976698</v>
      </c>
      <c r="AZ18" s="9">
        <v>0.199999999254941</v>
      </c>
      <c r="BA18" s="9">
        <v>0.199999999254941</v>
      </c>
      <c r="BB18" s="9">
        <v>0.20000000298023199</v>
      </c>
      <c r="BC18" s="9">
        <v>0.5</v>
      </c>
      <c r="BD18" s="11">
        <v>7.6000000014901099</v>
      </c>
      <c r="BE18" s="11">
        <v>6.5</v>
      </c>
      <c r="BF18" s="11">
        <v>7.8999999985098803</v>
      </c>
      <c r="BG18" s="11">
        <v>8.4000000022351706</v>
      </c>
      <c r="BH18" s="11">
        <v>5.6999999992549402</v>
      </c>
      <c r="BI18" s="11">
        <v>7.3000000007450501</v>
      </c>
      <c r="BJ18" s="9">
        <v>58.199999999254899</v>
      </c>
      <c r="BK18" s="9">
        <v>62.599999997764797</v>
      </c>
      <c r="BL18" s="9">
        <v>64.899999998509799</v>
      </c>
      <c r="BM18" s="9">
        <v>82.600000001490102</v>
      </c>
      <c r="BN18" s="9">
        <v>46.899999998509799</v>
      </c>
      <c r="BO18" s="9">
        <v>71</v>
      </c>
      <c r="BP18" s="11">
        <v>5.3000000007450501</v>
      </c>
      <c r="BQ18" s="11">
        <v>5.5</v>
      </c>
      <c r="BR18" s="11">
        <v>6</v>
      </c>
      <c r="BS18" s="11">
        <v>6.6999999992549402</v>
      </c>
      <c r="BT18" s="11">
        <v>8.4000000022351706</v>
      </c>
      <c r="BU18" s="11">
        <v>5.0999999977648196</v>
      </c>
      <c r="BV18" s="9">
        <v>10.0999999996274</v>
      </c>
      <c r="BW18" s="9">
        <v>4.8999999985098803</v>
      </c>
      <c r="BX18" s="9">
        <v>2.4000000003725201</v>
      </c>
      <c r="BY18" s="9">
        <v>1.8000000007450501</v>
      </c>
      <c r="BZ18" s="9">
        <v>9.6999999992549402</v>
      </c>
      <c r="CA18" s="9">
        <v>2.0999999996274701</v>
      </c>
      <c r="CB18" s="11">
        <v>676</v>
      </c>
      <c r="CC18" s="11">
        <v>341.5</v>
      </c>
      <c r="CD18" s="11">
        <v>69.900000002235103</v>
      </c>
      <c r="CE18" s="11">
        <v>77.699999999254899</v>
      </c>
      <c r="CF18" s="11">
        <v>641.10000000149</v>
      </c>
      <c r="CG18" s="11">
        <v>74.199999999254899</v>
      </c>
      <c r="CH18" s="9">
        <v>1.1999999992549399</v>
      </c>
      <c r="CI18" s="9">
        <v>1.1999999992549399</v>
      </c>
      <c r="CJ18" s="9">
        <v>0.40000000037252897</v>
      </c>
      <c r="CK18" s="9">
        <v>0.70000000111758698</v>
      </c>
      <c r="CL18" s="9">
        <v>1.0999999996274701</v>
      </c>
      <c r="CM18" s="9">
        <v>0.5</v>
      </c>
    </row>
    <row r="19" spans="1:91" ht="16.5" thickTop="1" thickBot="1">
      <c r="B19" s="9">
        <v>0.79999999888241202</v>
      </c>
      <c r="C19" s="9">
        <v>0.69999999925494105</v>
      </c>
      <c r="D19" s="9">
        <v>0.79999999888241202</v>
      </c>
      <c r="E19" s="9">
        <v>1.1000000014901099</v>
      </c>
      <c r="F19" s="9">
        <v>0.79999999888241202</v>
      </c>
      <c r="G19" s="9">
        <v>0.80000000074505795</v>
      </c>
      <c r="H19" s="11">
        <v>25.5</v>
      </c>
      <c r="I19" s="11">
        <v>25.599999997764801</v>
      </c>
      <c r="J19" s="11">
        <v>26.7000000029802</v>
      </c>
      <c r="K19" s="11">
        <v>25.300000000745001</v>
      </c>
      <c r="L19" s="11">
        <v>25.9000000022351</v>
      </c>
      <c r="M19" s="11">
        <v>25.4000000022351</v>
      </c>
      <c r="N19" s="9">
        <v>9.9999999627470901E-2</v>
      </c>
      <c r="O19" s="9">
        <v>9.9999999627470901E-2</v>
      </c>
      <c r="P19" s="9">
        <v>9.9999999627470901E-2</v>
      </c>
      <c r="Q19" s="9">
        <v>0</v>
      </c>
      <c r="R19" s="9">
        <v>0</v>
      </c>
      <c r="S19" s="9">
        <v>0</v>
      </c>
      <c r="T19" s="11">
        <v>1.20000000111758</v>
      </c>
      <c r="U19" s="11">
        <v>1</v>
      </c>
      <c r="V19" s="11">
        <v>1.1999999992549399</v>
      </c>
      <c r="W19" s="11">
        <v>1</v>
      </c>
      <c r="X19" s="11">
        <v>1</v>
      </c>
      <c r="Y19" s="11">
        <v>1.1000000014901099</v>
      </c>
      <c r="Z19" s="9">
        <v>39.100000001490102</v>
      </c>
      <c r="AA19" s="9">
        <v>39.199999999254899</v>
      </c>
      <c r="AB19" s="9">
        <v>41.150788646619624</v>
      </c>
      <c r="AC19" s="9">
        <v>38.800000000745001</v>
      </c>
      <c r="AD19" s="9">
        <v>39.399999998509799</v>
      </c>
      <c r="AE19" s="9">
        <v>38.300000000745001</v>
      </c>
      <c r="AF19" s="11">
        <v>9.9999999627470901E-2</v>
      </c>
      <c r="AG19" s="11">
        <v>9.9999999627470901E-2</v>
      </c>
      <c r="AH19" s="11">
        <v>0.199999999254941</v>
      </c>
      <c r="AI19" s="11">
        <v>0.300000000745058</v>
      </c>
      <c r="AJ19" s="11">
        <v>0.199999999254941</v>
      </c>
      <c r="AK19" s="11">
        <v>0.199999999254941</v>
      </c>
      <c r="AL19" s="9">
        <v>1.20000000111758</v>
      </c>
      <c r="AM19" s="9">
        <v>1.1999999992549399</v>
      </c>
      <c r="AN19" s="9">
        <v>1.0999999996274701</v>
      </c>
      <c r="AO19" s="9">
        <v>1.3000000007450501</v>
      </c>
      <c r="AP19" s="9">
        <v>1.20000000111758</v>
      </c>
      <c r="AQ19" s="9">
        <v>1.1999999992549399</v>
      </c>
      <c r="AR19" s="11">
        <v>39.599999997764797</v>
      </c>
      <c r="AS19" s="11">
        <v>39.399999998509799</v>
      </c>
      <c r="AT19" s="11">
        <v>39.5</v>
      </c>
      <c r="AU19" s="11">
        <v>39</v>
      </c>
      <c r="AV19" s="11">
        <v>38.5</v>
      </c>
      <c r="AW19" s="11">
        <v>38.5</v>
      </c>
      <c r="AX19" s="9">
        <v>0.199999999254941</v>
      </c>
      <c r="AY19" s="9">
        <v>0.300000000745058</v>
      </c>
      <c r="AZ19" s="9">
        <v>0.199999999254941</v>
      </c>
      <c r="BA19" s="9">
        <v>0.300000000745058</v>
      </c>
      <c r="BB19" s="9">
        <v>0.5</v>
      </c>
      <c r="BC19" s="9">
        <v>0.300000000745058</v>
      </c>
      <c r="BD19" s="11">
        <v>7.7000000029802296</v>
      </c>
      <c r="BE19" s="11">
        <v>6.5</v>
      </c>
      <c r="BF19" s="11">
        <v>7.6999999992549402</v>
      </c>
      <c r="BG19" s="11">
        <v>8.8999999985098803</v>
      </c>
      <c r="BH19" s="11">
        <v>6.3999999985098803</v>
      </c>
      <c r="BI19" s="11">
        <v>7</v>
      </c>
      <c r="BJ19" s="9">
        <v>58</v>
      </c>
      <c r="BK19" s="9">
        <v>61.600000001490102</v>
      </c>
      <c r="BL19" s="9">
        <v>64.5</v>
      </c>
      <c r="BM19" s="9">
        <v>82.199999999254899</v>
      </c>
      <c r="BN19" s="9">
        <v>46.099999997764797</v>
      </c>
      <c r="BO19" s="9">
        <v>69.5</v>
      </c>
      <c r="BP19" s="11">
        <v>5.1000000014901099</v>
      </c>
      <c r="BQ19" s="11">
        <v>5.5999999977648196</v>
      </c>
      <c r="BR19" s="11">
        <v>5.8999999985098803</v>
      </c>
      <c r="BS19" s="11">
        <v>6.5999999977648196</v>
      </c>
      <c r="BT19" s="11">
        <v>4.1000000014901099</v>
      </c>
      <c r="BU19" s="11">
        <v>5.8000000007450501</v>
      </c>
      <c r="BV19" s="9">
        <v>7.20000000111758</v>
      </c>
      <c r="BW19" s="9">
        <v>5.3999999985098803</v>
      </c>
      <c r="BX19" s="9">
        <v>2.7999999988824098</v>
      </c>
      <c r="BY19" s="9">
        <v>1.9000000003725199</v>
      </c>
      <c r="BZ19" s="9">
        <v>15.2000000011175</v>
      </c>
      <c r="CA19" s="9">
        <v>3.5</v>
      </c>
      <c r="CB19" s="11">
        <v>675.40000000223495</v>
      </c>
      <c r="CC19" s="11">
        <v>346.69999999925398</v>
      </c>
      <c r="CD19" s="11">
        <v>70.699999999254899</v>
      </c>
      <c r="CE19" s="11">
        <v>77.700000002980204</v>
      </c>
      <c r="CF19" s="11">
        <v>663.80000000074494</v>
      </c>
      <c r="CG19" s="11">
        <v>73.699999999254899</v>
      </c>
      <c r="CH19" s="9">
        <v>2</v>
      </c>
      <c r="CI19" s="9">
        <v>1.0999999996274701</v>
      </c>
      <c r="CJ19" s="9">
        <v>0.29999999888241202</v>
      </c>
      <c r="CK19" s="9">
        <v>0.40000000037252897</v>
      </c>
      <c r="CL19" s="9">
        <v>1</v>
      </c>
      <c r="CM19" s="9">
        <v>0.29999999888241202</v>
      </c>
    </row>
    <row r="20" spans="1:91" ht="16.5" thickTop="1" thickBot="1">
      <c r="B20" s="9">
        <v>0.90000000037252903</v>
      </c>
      <c r="C20" s="9">
        <v>0.80000000074505795</v>
      </c>
      <c r="D20" s="9">
        <v>0.80000000074505795</v>
      </c>
      <c r="E20" s="9">
        <v>0.80000000074505795</v>
      </c>
      <c r="F20" s="9">
        <v>1.1000000014901099</v>
      </c>
      <c r="G20" s="9">
        <v>0.80000000074505795</v>
      </c>
      <c r="H20" s="11">
        <v>25.4000000022351</v>
      </c>
      <c r="I20" s="11">
        <v>25.600000001490098</v>
      </c>
      <c r="J20" s="11">
        <v>26.899999998509799</v>
      </c>
      <c r="K20" s="11">
        <v>25.399999998509799</v>
      </c>
      <c r="L20" s="11">
        <v>25.7000000029802</v>
      </c>
      <c r="M20" s="11">
        <v>25.300000000745001</v>
      </c>
      <c r="N20" s="9">
        <v>9.9999999627470901E-2</v>
      </c>
      <c r="O20" s="9">
        <v>9.9999999627470901E-2</v>
      </c>
      <c r="P20" s="9">
        <v>0</v>
      </c>
      <c r="Q20" s="9">
        <v>0</v>
      </c>
      <c r="R20" s="9">
        <v>0</v>
      </c>
      <c r="S20" s="9">
        <v>9.9999999627470901E-2</v>
      </c>
      <c r="T20" s="11">
        <v>1.0999999996274701</v>
      </c>
      <c r="U20" s="11">
        <v>1.20000000111758</v>
      </c>
      <c r="V20" s="11">
        <v>1.3000000007450501</v>
      </c>
      <c r="W20" s="11">
        <v>0.89999999850988299</v>
      </c>
      <c r="X20" s="11">
        <v>1.0999999996274701</v>
      </c>
      <c r="Y20" s="11">
        <v>1.0999999996274701</v>
      </c>
      <c r="Z20" s="9">
        <v>38.700000002980197</v>
      </c>
      <c r="AA20" s="9">
        <v>39.300000000745001</v>
      </c>
      <c r="AB20" s="9">
        <v>35.436754276980174</v>
      </c>
      <c r="AC20" s="9">
        <v>38.899999998509799</v>
      </c>
      <c r="AD20" s="9">
        <v>39.300000000745001</v>
      </c>
      <c r="AE20" s="9">
        <v>38</v>
      </c>
      <c r="AF20" s="11">
        <v>9.9999999627470901E-2</v>
      </c>
      <c r="AG20" s="11">
        <v>9.9999999627470901E-2</v>
      </c>
      <c r="AH20" s="11">
        <v>9.9999999627470901E-2</v>
      </c>
      <c r="AI20" s="11">
        <v>9.9999999627470901E-2</v>
      </c>
      <c r="AJ20" s="11">
        <v>0.300000000745058</v>
      </c>
      <c r="AK20" s="11">
        <v>9.9999999627470901E-2</v>
      </c>
      <c r="AL20" s="9">
        <v>1.0999999996274701</v>
      </c>
      <c r="AM20" s="9">
        <v>1.1999999992549399</v>
      </c>
      <c r="AN20" s="9">
        <v>1.20000000111758</v>
      </c>
      <c r="AO20" s="9">
        <v>2.5</v>
      </c>
      <c r="AP20" s="9">
        <v>1.20000000111758</v>
      </c>
      <c r="AQ20" s="9">
        <v>1.1999999992549399</v>
      </c>
      <c r="AR20" s="11">
        <v>39.799999997019697</v>
      </c>
      <c r="AS20" s="11">
        <v>39.199999999254899</v>
      </c>
      <c r="AT20" s="11">
        <v>39.300000000745001</v>
      </c>
      <c r="AU20" s="11">
        <v>43.300000000745001</v>
      </c>
      <c r="AV20" s="11">
        <v>38.699999999254899</v>
      </c>
      <c r="AW20" s="11">
        <v>38.100000001490102</v>
      </c>
      <c r="AX20" s="9">
        <v>0.300000000745058</v>
      </c>
      <c r="AY20" s="9">
        <v>0.300000000745058</v>
      </c>
      <c r="AZ20" s="9">
        <v>0.39999999850988299</v>
      </c>
      <c r="BA20" s="9">
        <v>0.39999999850988299</v>
      </c>
      <c r="BB20" s="9">
        <v>0.5</v>
      </c>
      <c r="BC20" s="9">
        <v>0.199999999254941</v>
      </c>
      <c r="BD20" s="11">
        <v>7.6000000014901099</v>
      </c>
      <c r="BE20" s="11">
        <v>6.5</v>
      </c>
      <c r="BF20" s="11">
        <v>7.7999999970197598</v>
      </c>
      <c r="BG20" s="11">
        <v>8.3999999985098803</v>
      </c>
      <c r="BH20" s="11">
        <v>5.6999999992549402</v>
      </c>
      <c r="BI20" s="11">
        <v>7.2000000029802296</v>
      </c>
      <c r="BJ20" s="9">
        <v>58.099999997764797</v>
      </c>
      <c r="BK20" s="9">
        <v>62.899999998509799</v>
      </c>
      <c r="BL20" s="9">
        <v>64.5</v>
      </c>
      <c r="BM20" s="9">
        <v>83</v>
      </c>
      <c r="BN20" s="9">
        <v>45.800000000745001</v>
      </c>
      <c r="BO20" s="9">
        <v>73.599999997764797</v>
      </c>
      <c r="BP20" s="11">
        <v>5.3000000007450501</v>
      </c>
      <c r="BQ20" s="11">
        <v>5.3000000007450501</v>
      </c>
      <c r="BR20" s="11">
        <v>5.8999999985098803</v>
      </c>
      <c r="BS20" s="11">
        <v>6.9000000022351697</v>
      </c>
      <c r="BT20" s="11">
        <v>4</v>
      </c>
      <c r="BU20" s="11">
        <v>5.3000000007450501</v>
      </c>
      <c r="BV20" s="9">
        <v>9.1000000014901108</v>
      </c>
      <c r="BW20" s="9">
        <v>6.70000000111758</v>
      </c>
      <c r="BX20" s="9">
        <v>1.6999999992549399</v>
      </c>
      <c r="BY20" s="9">
        <v>1.5999999996274701</v>
      </c>
      <c r="BZ20" s="9">
        <v>8.8000000007450492</v>
      </c>
      <c r="CA20" s="9">
        <v>2.4000000003725201</v>
      </c>
      <c r="CB20" s="11">
        <v>614.19999999925403</v>
      </c>
      <c r="CC20" s="11">
        <v>376.60000000149</v>
      </c>
      <c r="CD20" s="11">
        <v>69.800000000745001</v>
      </c>
      <c r="CE20" s="11">
        <v>80.099999997764797</v>
      </c>
      <c r="CF20" s="11">
        <v>641.10000000149</v>
      </c>
      <c r="CG20" s="11">
        <v>74</v>
      </c>
      <c r="CH20" s="9">
        <v>1.8999999985098801</v>
      </c>
      <c r="CI20" s="9">
        <v>1.1999999992549399</v>
      </c>
      <c r="CJ20" s="9">
        <v>0.199999999254941</v>
      </c>
      <c r="CK20" s="9">
        <v>0.5</v>
      </c>
      <c r="CL20" s="9">
        <v>1.1999999992549399</v>
      </c>
      <c r="CM20" s="9">
        <v>0.300000000745058</v>
      </c>
    </row>
    <row r="21" spans="1:91" ht="16.5" thickTop="1" thickBot="1">
      <c r="B21" s="9">
        <v>0.89999999850988299</v>
      </c>
      <c r="C21" s="9">
        <v>0.70000000111758698</v>
      </c>
      <c r="D21" s="9">
        <v>0.69999999925494105</v>
      </c>
      <c r="E21" s="9">
        <v>1</v>
      </c>
      <c r="F21" s="9">
        <v>0.90000000037252903</v>
      </c>
      <c r="G21" s="9">
        <v>1.1000000014901099</v>
      </c>
      <c r="H21" s="11">
        <v>25.5</v>
      </c>
      <c r="I21" s="11">
        <v>28.199999999254899</v>
      </c>
      <c r="J21" s="11">
        <v>27.100000001490098</v>
      </c>
      <c r="K21" s="11">
        <v>27.5</v>
      </c>
      <c r="L21" s="11">
        <v>25.9000000022351</v>
      </c>
      <c r="M21" s="11">
        <v>25.300000000745001</v>
      </c>
      <c r="N21" s="9">
        <v>9.9999999627470901E-2</v>
      </c>
      <c r="O21" s="9">
        <v>0</v>
      </c>
      <c r="P21" s="9">
        <v>0</v>
      </c>
      <c r="Q21" s="9">
        <v>0</v>
      </c>
      <c r="R21" s="9">
        <v>0.10000000149011599</v>
      </c>
      <c r="S21" s="9">
        <v>0</v>
      </c>
      <c r="T21" s="11">
        <v>1.5999999996274701</v>
      </c>
      <c r="U21" s="11">
        <v>1</v>
      </c>
      <c r="V21" s="11">
        <v>1.20000000111758</v>
      </c>
      <c r="W21" s="11">
        <v>1.3000000007450501</v>
      </c>
      <c r="X21" s="11">
        <v>1.0999999996274701</v>
      </c>
      <c r="Y21" s="11">
        <v>1.0999999996274701</v>
      </c>
      <c r="Z21" s="9">
        <v>39.199999999254899</v>
      </c>
      <c r="AA21" s="9">
        <v>39</v>
      </c>
      <c r="AB21" s="9">
        <v>41.07728055853736</v>
      </c>
      <c r="AC21" s="9">
        <v>38.600000001490102</v>
      </c>
      <c r="AD21" s="9">
        <v>39.300000000745001</v>
      </c>
      <c r="AE21" s="9">
        <v>38.099999997764797</v>
      </c>
      <c r="AF21" s="11">
        <v>0.199999999254941</v>
      </c>
      <c r="AG21" s="11">
        <v>9.9999999627470901E-2</v>
      </c>
      <c r="AH21" s="11">
        <v>0.79999999888241202</v>
      </c>
      <c r="AI21" s="11">
        <v>0.300000000745058</v>
      </c>
      <c r="AJ21" s="11">
        <v>0.300000000745058</v>
      </c>
      <c r="AK21" s="11">
        <v>9.9999999627470901E-2</v>
      </c>
      <c r="AL21" s="9">
        <v>1.1999999992549399</v>
      </c>
      <c r="AM21" s="9">
        <v>1.3000000007450501</v>
      </c>
      <c r="AN21" s="9">
        <v>1.1999999992549399</v>
      </c>
      <c r="AO21" s="9">
        <v>1.20000000111758</v>
      </c>
      <c r="AP21" s="9">
        <v>1.20000000111758</v>
      </c>
      <c r="AQ21" s="9">
        <v>1.3999999985098801</v>
      </c>
      <c r="AR21" s="11">
        <v>39.800000000745001</v>
      </c>
      <c r="AS21" s="11">
        <v>41.099999997764797</v>
      </c>
      <c r="AT21" s="11">
        <v>39.5</v>
      </c>
      <c r="AU21" s="11">
        <v>39</v>
      </c>
      <c r="AV21" s="11">
        <v>38.800000000745001</v>
      </c>
      <c r="AW21" s="11">
        <v>38.700000002980197</v>
      </c>
      <c r="AX21" s="9">
        <v>0.199999999254941</v>
      </c>
      <c r="AY21" s="9">
        <v>0.300000000745058</v>
      </c>
      <c r="AZ21" s="9">
        <v>0.5</v>
      </c>
      <c r="BA21" s="9">
        <v>0.5</v>
      </c>
      <c r="BB21" s="9">
        <v>0.199999999254941</v>
      </c>
      <c r="BC21" s="9">
        <v>0.20000000298023199</v>
      </c>
      <c r="BD21" s="11">
        <v>7.6999999992549402</v>
      </c>
      <c r="BE21" s="11">
        <v>6.7000000029802296</v>
      </c>
      <c r="BF21" s="11">
        <v>8</v>
      </c>
      <c r="BG21" s="11">
        <v>8.8000000007450492</v>
      </c>
      <c r="BH21" s="11">
        <v>6.8999999985098803</v>
      </c>
      <c r="BI21" s="11">
        <v>7.1000000014901099</v>
      </c>
      <c r="BJ21" s="9">
        <v>59.100000001490102</v>
      </c>
      <c r="BK21" s="9">
        <v>61.699999999254899</v>
      </c>
      <c r="BL21" s="9">
        <v>65.099999997764797</v>
      </c>
      <c r="BM21" s="9">
        <v>82.199999999254899</v>
      </c>
      <c r="BN21" s="9">
        <v>46.100000001490102</v>
      </c>
      <c r="BO21" s="9">
        <v>73.699999999254899</v>
      </c>
      <c r="BP21" s="11">
        <v>5.3000000007450501</v>
      </c>
      <c r="BQ21" s="11">
        <v>5.6999999992549402</v>
      </c>
      <c r="BR21" s="11">
        <v>6</v>
      </c>
      <c r="BS21" s="11">
        <v>7.3000000007450501</v>
      </c>
      <c r="BT21" s="11">
        <v>4.5</v>
      </c>
      <c r="BU21" s="11">
        <v>5.1999999992549402</v>
      </c>
      <c r="BV21" s="9">
        <v>9.2999999988824094</v>
      </c>
      <c r="BW21" s="9">
        <v>5.1999999992549402</v>
      </c>
      <c r="BX21" s="9">
        <v>2.0999999996274701</v>
      </c>
      <c r="BY21" s="9">
        <v>2.1999999992549402</v>
      </c>
      <c r="BZ21" s="9">
        <v>17.900000000372501</v>
      </c>
      <c r="CA21" s="9">
        <v>3.5999999996274701</v>
      </c>
      <c r="CB21" s="11">
        <v>654.39999999850897</v>
      </c>
      <c r="CC21" s="11">
        <v>376.39999999850897</v>
      </c>
      <c r="CD21" s="11">
        <v>66.199999999254899</v>
      </c>
      <c r="CE21" s="11">
        <v>77.799999997019697</v>
      </c>
      <c r="CF21" s="11">
        <v>632.60000000149</v>
      </c>
      <c r="CG21" s="11">
        <v>74</v>
      </c>
      <c r="CH21" s="9">
        <v>2.0999999996274701</v>
      </c>
      <c r="CI21" s="9">
        <v>1.1999999992549399</v>
      </c>
      <c r="CJ21" s="9">
        <v>0.300000000745058</v>
      </c>
      <c r="CK21" s="9">
        <v>0.59999999962747097</v>
      </c>
      <c r="CL21" s="9">
        <v>1.3999999985098801</v>
      </c>
      <c r="CM21" s="9">
        <v>0.59999999962747097</v>
      </c>
    </row>
    <row r="22" spans="1:91" ht="16.5" thickTop="1" thickBot="1">
      <c r="B22" s="9">
        <v>0.90000000037252903</v>
      </c>
      <c r="C22" s="9">
        <v>0.80000000074505795</v>
      </c>
      <c r="D22" s="9">
        <v>1</v>
      </c>
      <c r="E22" s="9">
        <v>0.79999999888241202</v>
      </c>
      <c r="F22" s="9">
        <v>0.90000000037252903</v>
      </c>
      <c r="G22" s="9">
        <v>0.80000000074505795</v>
      </c>
      <c r="H22" s="11">
        <v>25.300000000745001</v>
      </c>
      <c r="I22" s="11">
        <v>25.5</v>
      </c>
      <c r="J22" s="11">
        <v>26.800000000745001</v>
      </c>
      <c r="K22" s="11">
        <v>26.399999998509799</v>
      </c>
      <c r="L22" s="11">
        <v>25.699999999254899</v>
      </c>
      <c r="M22" s="11">
        <v>25.300000000745001</v>
      </c>
      <c r="N22" s="9">
        <v>0</v>
      </c>
      <c r="O22" s="9">
        <v>0</v>
      </c>
      <c r="P22" s="9">
        <v>0</v>
      </c>
      <c r="Q22" s="9">
        <v>0</v>
      </c>
      <c r="R22" s="9">
        <v>9.9999999627470901E-2</v>
      </c>
      <c r="S22" s="9">
        <v>9.9999999627470901E-2</v>
      </c>
      <c r="T22" s="11">
        <v>1</v>
      </c>
      <c r="U22" s="11">
        <v>1</v>
      </c>
      <c r="V22" s="11">
        <v>1.1999999992549399</v>
      </c>
      <c r="W22" s="11">
        <v>1.29999999888241</v>
      </c>
      <c r="X22" s="11">
        <v>1.0999999996274701</v>
      </c>
      <c r="Y22" s="11">
        <v>1</v>
      </c>
      <c r="Z22" s="9">
        <v>39.400000002235103</v>
      </c>
      <c r="AA22" s="9">
        <v>39</v>
      </c>
      <c r="AB22" s="9">
        <v>41.907611614727976</v>
      </c>
      <c r="AC22" s="9">
        <v>38.800000000745001</v>
      </c>
      <c r="AD22" s="9">
        <v>39.399999998509799</v>
      </c>
      <c r="AE22" s="9">
        <v>38.600000001490102</v>
      </c>
      <c r="AF22" s="11">
        <v>0.20000000111758701</v>
      </c>
      <c r="AG22" s="11">
        <v>9.9999999627470901E-2</v>
      </c>
      <c r="AH22" s="11">
        <v>9.9999999627470901E-2</v>
      </c>
      <c r="AI22" s="11">
        <v>0.20000000111758701</v>
      </c>
      <c r="AJ22" s="11">
        <v>0.199999999254941</v>
      </c>
      <c r="AK22" s="11">
        <v>0.20000000111758701</v>
      </c>
      <c r="AL22" s="9">
        <v>1.1999999992549399</v>
      </c>
      <c r="AM22" s="9">
        <v>1.20000000111758</v>
      </c>
      <c r="AN22" s="9">
        <v>1.20000000111758</v>
      </c>
      <c r="AO22" s="9">
        <v>1.1999999992549399</v>
      </c>
      <c r="AP22" s="9">
        <v>1.3000000007450501</v>
      </c>
      <c r="AQ22" s="9">
        <v>1.0999999996274701</v>
      </c>
      <c r="AR22" s="11">
        <v>39.899999998509799</v>
      </c>
      <c r="AS22" s="11">
        <v>39.300000000745001</v>
      </c>
      <c r="AT22" s="11">
        <v>40</v>
      </c>
      <c r="AU22" s="11">
        <v>39</v>
      </c>
      <c r="AV22" s="11">
        <v>38.800000000745001</v>
      </c>
      <c r="AW22" s="11">
        <v>38.699999999254899</v>
      </c>
      <c r="AX22" s="9">
        <v>0.300000000745058</v>
      </c>
      <c r="AY22" s="9">
        <v>0.199999999254941</v>
      </c>
      <c r="AZ22" s="9">
        <v>0.5</v>
      </c>
      <c r="BA22" s="9">
        <v>0.5</v>
      </c>
      <c r="BB22" s="9">
        <v>0.29999999701976698</v>
      </c>
      <c r="BC22" s="9">
        <v>9.9999997764825793E-2</v>
      </c>
      <c r="BD22" s="11">
        <v>7.5999999977648196</v>
      </c>
      <c r="BE22" s="11">
        <v>6.3999999985098803</v>
      </c>
      <c r="BF22" s="11">
        <v>8.3000000007450492</v>
      </c>
      <c r="BG22" s="11">
        <v>9.1999999992549402</v>
      </c>
      <c r="BH22" s="11">
        <v>5.8999999985098803</v>
      </c>
      <c r="BI22" s="11">
        <v>6.7999999970197598</v>
      </c>
      <c r="BJ22" s="9">
        <v>57.5</v>
      </c>
      <c r="BK22" s="9">
        <v>61.800000000745001</v>
      </c>
      <c r="BL22" s="9">
        <v>64.699999999254899</v>
      </c>
      <c r="BM22" s="9">
        <v>82.300000000745001</v>
      </c>
      <c r="BN22" s="9">
        <v>45.899999998509799</v>
      </c>
      <c r="BO22" s="9">
        <v>69.900000002235103</v>
      </c>
      <c r="BP22" s="11">
        <v>5.3000000007450501</v>
      </c>
      <c r="BQ22" s="11">
        <v>5.5</v>
      </c>
      <c r="BR22" s="11">
        <v>6</v>
      </c>
      <c r="BS22" s="11">
        <v>7.3000000007450501</v>
      </c>
      <c r="BT22" s="11">
        <v>4.5</v>
      </c>
      <c r="BU22" s="11">
        <v>5.6999999992549402</v>
      </c>
      <c r="BV22" s="9">
        <v>11.6000000014901</v>
      </c>
      <c r="BW22" s="9">
        <v>8.5999999996274692</v>
      </c>
      <c r="BX22" s="9">
        <v>2.4000000003725201</v>
      </c>
      <c r="BY22" s="9">
        <v>1.9000000003725199</v>
      </c>
      <c r="BZ22" s="9">
        <v>9.5</v>
      </c>
      <c r="CA22" s="9">
        <v>2</v>
      </c>
      <c r="CB22" s="11">
        <v>653.5</v>
      </c>
      <c r="CC22" s="11">
        <v>383</v>
      </c>
      <c r="CD22" s="11">
        <v>70</v>
      </c>
      <c r="CE22" s="11">
        <v>78.100000001490102</v>
      </c>
      <c r="CF22" s="11">
        <v>657.39999999850897</v>
      </c>
      <c r="CG22" s="11">
        <v>73.800000000745001</v>
      </c>
      <c r="CH22" s="9">
        <v>1.6000000014901099</v>
      </c>
      <c r="CI22" s="9">
        <v>1.5</v>
      </c>
      <c r="CJ22" s="9">
        <v>0.60000000149011601</v>
      </c>
      <c r="CK22" s="9">
        <v>0.60000000149011601</v>
      </c>
      <c r="CL22" s="9">
        <v>1.0999999996274701</v>
      </c>
      <c r="CM22" s="9">
        <v>0.70000000111758698</v>
      </c>
    </row>
    <row r="23" spans="1:91" ht="16.5" thickTop="1" thickBot="1">
      <c r="B23" s="9">
        <v>0.70000000111758698</v>
      </c>
      <c r="C23" s="9">
        <v>0.70000000111758698</v>
      </c>
      <c r="D23" s="9">
        <v>0.90000000037252903</v>
      </c>
      <c r="E23" s="9">
        <v>1.0999999996274701</v>
      </c>
      <c r="F23" s="9">
        <v>1.29999999888241</v>
      </c>
      <c r="G23" s="9">
        <v>0.80000000074505795</v>
      </c>
      <c r="H23" s="11">
        <v>25.599999997764801</v>
      </c>
      <c r="I23" s="11">
        <v>25.7000000029802</v>
      </c>
      <c r="J23" s="11">
        <v>26.699999999254899</v>
      </c>
      <c r="K23" s="11">
        <v>25.599999997764801</v>
      </c>
      <c r="L23" s="11">
        <v>25.800000000745001</v>
      </c>
      <c r="M23" s="11">
        <v>25.300000000745001</v>
      </c>
      <c r="N23" s="9">
        <v>9.9999999627470901E-2</v>
      </c>
      <c r="O23" s="9">
        <v>0</v>
      </c>
      <c r="P23" s="9">
        <v>0</v>
      </c>
      <c r="Q23" s="9">
        <v>0</v>
      </c>
      <c r="R23" s="9">
        <v>9.9999999627470901E-2</v>
      </c>
      <c r="S23" s="9">
        <v>9.9999999627470901E-2</v>
      </c>
      <c r="T23" s="11">
        <v>1.0999999996274701</v>
      </c>
      <c r="U23" s="11">
        <v>1.1999999992549399</v>
      </c>
      <c r="V23" s="11">
        <v>1.6999999992549399</v>
      </c>
      <c r="W23" s="11">
        <v>1.0999999996274701</v>
      </c>
      <c r="X23" s="11">
        <v>1.0999999996274701</v>
      </c>
      <c r="Y23" s="11">
        <v>1.1000000014901099</v>
      </c>
      <c r="Z23" s="9">
        <v>39.699999999254899</v>
      </c>
      <c r="AA23" s="9">
        <v>39.5</v>
      </c>
      <c r="AB23" s="9">
        <v>34.872914680441355</v>
      </c>
      <c r="AC23" s="9">
        <v>39</v>
      </c>
      <c r="AD23" s="9">
        <v>39.5</v>
      </c>
      <c r="AE23" s="9">
        <v>38</v>
      </c>
      <c r="AF23" s="11">
        <v>0.199999999254941</v>
      </c>
      <c r="AG23" s="11">
        <v>0.10000000149011599</v>
      </c>
      <c r="AH23" s="11">
        <v>9.9999999627470901E-2</v>
      </c>
      <c r="AI23" s="11">
        <v>0.10000000149011599</v>
      </c>
      <c r="AJ23" s="11">
        <v>0.199999999254941</v>
      </c>
      <c r="AK23" s="11">
        <v>0.40000000037252897</v>
      </c>
      <c r="AL23" s="9">
        <v>1.1999999992549399</v>
      </c>
      <c r="AM23" s="9">
        <v>1.1999999992549399</v>
      </c>
      <c r="AN23" s="9">
        <v>1.0999999996274701</v>
      </c>
      <c r="AO23" s="9">
        <v>1.1000000014901099</v>
      </c>
      <c r="AP23" s="9">
        <v>1.1999999992549399</v>
      </c>
      <c r="AQ23" s="9">
        <v>1.1999999992549399</v>
      </c>
      <c r="AR23" s="11">
        <v>39.800000000745001</v>
      </c>
      <c r="AS23" s="11">
        <v>39.399999998509799</v>
      </c>
      <c r="AT23" s="11">
        <v>39.599999997764797</v>
      </c>
      <c r="AU23" s="11">
        <v>38.799999997019697</v>
      </c>
      <c r="AV23" s="11">
        <v>37.899999998509799</v>
      </c>
      <c r="AW23" s="11">
        <v>38.199999999254899</v>
      </c>
      <c r="AX23" s="9">
        <v>0.199999999254941</v>
      </c>
      <c r="AY23" s="9">
        <v>0.300000000745058</v>
      </c>
      <c r="AZ23" s="9">
        <v>0.199999999254941</v>
      </c>
      <c r="BA23" s="9">
        <v>0.39999999850988299</v>
      </c>
      <c r="BB23" s="9">
        <v>0.20000000298023199</v>
      </c>
      <c r="BC23" s="9">
        <v>0.199999999254941</v>
      </c>
      <c r="BD23" s="11">
        <v>7.6000000014901099</v>
      </c>
      <c r="BE23" s="11">
        <v>7</v>
      </c>
      <c r="BF23" s="11">
        <v>8.1999999992549402</v>
      </c>
      <c r="BG23" s="11">
        <v>8.3000000007450492</v>
      </c>
      <c r="BH23" s="11">
        <v>6.3000000007450501</v>
      </c>
      <c r="BI23" s="11">
        <v>6.6999999992549402</v>
      </c>
      <c r="BJ23" s="9">
        <v>58.600000001490102</v>
      </c>
      <c r="BK23" s="9">
        <v>61.699999999254899</v>
      </c>
      <c r="BL23" s="9">
        <v>93.199999999254899</v>
      </c>
      <c r="BM23" s="9">
        <v>82.300000000745001</v>
      </c>
      <c r="BN23" s="9">
        <v>46</v>
      </c>
      <c r="BO23" s="9">
        <v>61.800000000745001</v>
      </c>
      <c r="BP23" s="11">
        <v>5.5</v>
      </c>
      <c r="BQ23" s="11">
        <v>5.1999999992549402</v>
      </c>
      <c r="BR23" s="11">
        <v>5.8999999985098803</v>
      </c>
      <c r="BS23" s="11">
        <v>6.6000000014901099</v>
      </c>
      <c r="BT23" s="11">
        <v>4.4000000022351697</v>
      </c>
      <c r="BU23" s="11">
        <v>5.3000000007450501</v>
      </c>
      <c r="BV23" s="9">
        <v>8.5999999996274692</v>
      </c>
      <c r="BW23" s="9">
        <v>5.3000000007450501</v>
      </c>
      <c r="BX23" s="9">
        <v>2.8000000007450501</v>
      </c>
      <c r="BY23" s="9">
        <v>1.79999999888241</v>
      </c>
      <c r="BZ23" s="9">
        <v>9.3999999985098803</v>
      </c>
      <c r="CA23" s="9">
        <v>6.0999999996274701</v>
      </c>
      <c r="CB23" s="11">
        <v>674.60000000149</v>
      </c>
      <c r="CC23" s="11">
        <v>368.69999999925398</v>
      </c>
      <c r="CD23" s="11">
        <v>71.400000002235103</v>
      </c>
      <c r="CE23" s="11">
        <v>90.600000001490102</v>
      </c>
      <c r="CF23" s="11">
        <v>633.39999999850897</v>
      </c>
      <c r="CG23" s="11">
        <v>73.600000001490102</v>
      </c>
      <c r="CH23" s="9">
        <v>1.8000000007450501</v>
      </c>
      <c r="CI23" s="9">
        <v>0.59999999962747097</v>
      </c>
      <c r="CJ23" s="9">
        <v>0.59999999962747097</v>
      </c>
      <c r="CK23" s="9">
        <v>0.40000000037252897</v>
      </c>
      <c r="CL23" s="9">
        <v>1.1999999992549399</v>
      </c>
      <c r="CM23" s="9">
        <v>0.5</v>
      </c>
    </row>
    <row r="24" spans="1:91" ht="16.5" thickTop="1" thickBot="1">
      <c r="B24" s="9">
        <v>0.70000000111758698</v>
      </c>
      <c r="C24" s="9">
        <v>0.70000000111758698</v>
      </c>
      <c r="D24" s="9">
        <v>0.69999999925494105</v>
      </c>
      <c r="E24" s="9">
        <v>0.80000000074505795</v>
      </c>
      <c r="F24" s="9">
        <v>0.79999999888241202</v>
      </c>
      <c r="G24" s="9">
        <v>0.80000000074505795</v>
      </c>
      <c r="H24" s="11">
        <v>25.5</v>
      </c>
      <c r="I24" s="11">
        <v>25.7000000029802</v>
      </c>
      <c r="J24" s="11">
        <v>26.9000000022351</v>
      </c>
      <c r="K24" s="11">
        <v>25.899999998509799</v>
      </c>
      <c r="L24" s="11">
        <v>25.800000000745001</v>
      </c>
      <c r="M24" s="11">
        <v>25.5</v>
      </c>
      <c r="N24" s="9">
        <v>0</v>
      </c>
      <c r="O24" s="9">
        <v>0.10000000149011599</v>
      </c>
      <c r="P24" s="9">
        <v>0</v>
      </c>
      <c r="Q24" s="9">
        <v>9.9999999627470901E-2</v>
      </c>
      <c r="R24" s="9">
        <v>0</v>
      </c>
      <c r="S24" s="9">
        <v>0</v>
      </c>
      <c r="T24" s="11">
        <v>1.0999999996274701</v>
      </c>
      <c r="U24" s="11">
        <v>1</v>
      </c>
      <c r="V24" s="11">
        <v>1</v>
      </c>
      <c r="W24" s="11">
        <v>1.1000000014901099</v>
      </c>
      <c r="X24" s="11">
        <v>1</v>
      </c>
      <c r="Y24" s="11">
        <v>1.3999999985098801</v>
      </c>
      <c r="Z24" s="9">
        <v>39</v>
      </c>
      <c r="AA24" s="9">
        <v>39</v>
      </c>
      <c r="AB24" s="9">
        <v>36.248867847833964</v>
      </c>
      <c r="AC24" s="9">
        <v>39</v>
      </c>
      <c r="AD24" s="9">
        <v>39.599999997764797</v>
      </c>
      <c r="AE24" s="9">
        <v>38.199999999254899</v>
      </c>
      <c r="AF24" s="11">
        <v>9.9999999627470901E-2</v>
      </c>
      <c r="AG24" s="11">
        <v>0.199999999254941</v>
      </c>
      <c r="AH24" s="11">
        <v>0.300000000745058</v>
      </c>
      <c r="AI24" s="11">
        <v>9.9999999627470901E-2</v>
      </c>
      <c r="AJ24" s="11">
        <v>9.9999999627470901E-2</v>
      </c>
      <c r="AK24" s="11">
        <v>9.9999999627470901E-2</v>
      </c>
      <c r="AL24" s="9">
        <v>1.1999999992549399</v>
      </c>
      <c r="AM24" s="9">
        <v>1.20000000298023</v>
      </c>
      <c r="AN24" s="9">
        <v>1.20000000111758</v>
      </c>
      <c r="AO24" s="9">
        <v>1.6999999992549399</v>
      </c>
      <c r="AP24" s="9">
        <v>1.20000000111758</v>
      </c>
      <c r="AQ24" s="9">
        <v>1.1999999992549399</v>
      </c>
      <c r="AR24" s="11">
        <v>39.800000000745001</v>
      </c>
      <c r="AS24" s="11">
        <v>39.199999999254899</v>
      </c>
      <c r="AT24" s="11">
        <v>39.600000001490102</v>
      </c>
      <c r="AU24" s="11">
        <v>39</v>
      </c>
      <c r="AV24" s="11">
        <v>38.599999997764797</v>
      </c>
      <c r="AW24" s="11">
        <v>39.300000000745001</v>
      </c>
      <c r="AX24" s="9">
        <v>0.199999999254941</v>
      </c>
      <c r="AY24" s="9">
        <v>0.29999999701976698</v>
      </c>
      <c r="AZ24" s="9">
        <v>0.199999999254941</v>
      </c>
      <c r="BA24" s="9">
        <v>0.199999999254941</v>
      </c>
      <c r="BB24" s="9">
        <v>0.40000000223517401</v>
      </c>
      <c r="BC24" s="9">
        <v>0.300000000745058</v>
      </c>
      <c r="BD24" s="11">
        <v>7.3999999985098803</v>
      </c>
      <c r="BE24" s="11">
        <v>6.9000000022351697</v>
      </c>
      <c r="BF24" s="11">
        <v>8</v>
      </c>
      <c r="BG24" s="11">
        <v>8.3999999985098803</v>
      </c>
      <c r="BH24" s="11">
        <v>5.8999999985098803</v>
      </c>
      <c r="BI24" s="11">
        <v>6.5</v>
      </c>
      <c r="BJ24" s="9">
        <v>64.899999998509799</v>
      </c>
      <c r="BK24" s="9">
        <v>61.800000000745001</v>
      </c>
      <c r="BL24" s="9">
        <v>75</v>
      </c>
      <c r="BM24" s="9">
        <v>83.599999997764797</v>
      </c>
      <c r="BN24" s="9">
        <v>45.800000000745001</v>
      </c>
      <c r="BO24" s="9">
        <v>61.300000000745001</v>
      </c>
      <c r="BP24" s="11">
        <v>5.5</v>
      </c>
      <c r="BQ24" s="11">
        <v>5.0999999977648196</v>
      </c>
      <c r="BR24" s="11">
        <v>5.8999999985098803</v>
      </c>
      <c r="BS24" s="11">
        <v>7.5</v>
      </c>
      <c r="BT24" s="11">
        <v>4.6000000014901099</v>
      </c>
      <c r="BU24" s="11">
        <v>5.6999999992549402</v>
      </c>
      <c r="BV24" s="9">
        <v>12</v>
      </c>
      <c r="BW24" s="9">
        <v>5.5999999996274701</v>
      </c>
      <c r="BX24" s="9">
        <v>2</v>
      </c>
      <c r="BY24" s="9">
        <v>2.0999999996274701</v>
      </c>
      <c r="BZ24" s="9">
        <v>8.5</v>
      </c>
      <c r="CA24" s="9">
        <v>2.20000000111758</v>
      </c>
      <c r="CB24" s="11">
        <v>642.39999999850897</v>
      </c>
      <c r="CC24" s="11">
        <v>383.300000000745</v>
      </c>
      <c r="CD24" s="11">
        <v>71.200000002980204</v>
      </c>
      <c r="CE24" s="11">
        <v>78.599999997764797</v>
      </c>
      <c r="CF24" s="11">
        <v>648.90000000223495</v>
      </c>
      <c r="CG24" s="11">
        <v>74.599999997764797</v>
      </c>
      <c r="CH24" s="9">
        <v>1.20000000111758</v>
      </c>
      <c r="CI24" s="9">
        <v>0.59999999962747097</v>
      </c>
      <c r="CJ24" s="9">
        <v>0.80000000074505795</v>
      </c>
      <c r="CK24" s="9">
        <v>0.20000000111758701</v>
      </c>
      <c r="CL24" s="9">
        <v>1.1999999992549399</v>
      </c>
      <c r="CM24" s="9">
        <v>0.59999999962747097</v>
      </c>
    </row>
    <row r="25" spans="1:91" ht="13.5" thickTop="1">
      <c r="A25" s="15" t="s">
        <v>30</v>
      </c>
      <c r="B25">
        <f>AVERAGE(B5:B24)</f>
        <v>0.81500000022351726</v>
      </c>
      <c r="C25">
        <f t="shared" ref="C25:BN25" si="0">AVERAGE(C5:C24)</f>
        <v>0.78500000033527595</v>
      </c>
      <c r="D25">
        <f t="shared" si="0"/>
        <v>0.87000000011175815</v>
      </c>
      <c r="E25">
        <f t="shared" si="0"/>
        <v>1.0550000000745043</v>
      </c>
      <c r="F25">
        <f t="shared" si="0"/>
        <v>0.89500000020489046</v>
      </c>
      <c r="G25">
        <f t="shared" si="0"/>
        <v>0.83500000052153978</v>
      </c>
      <c r="H25">
        <f t="shared" si="0"/>
        <v>25.549999999813707</v>
      </c>
      <c r="I25">
        <f t="shared" si="0"/>
        <v>25.755000000260747</v>
      </c>
      <c r="J25">
        <f t="shared" si="0"/>
        <v>26.795000000111706</v>
      </c>
      <c r="K25">
        <f t="shared" si="0"/>
        <v>26.18499999903138</v>
      </c>
      <c r="L25">
        <f t="shared" si="0"/>
        <v>25.935000000335229</v>
      </c>
      <c r="M25">
        <f t="shared" si="0"/>
        <v>25.450000000186218</v>
      </c>
      <c r="N25">
        <f t="shared" si="0"/>
        <v>3.9999999850988358E-2</v>
      </c>
      <c r="O25">
        <f t="shared" si="0"/>
        <v>5.0000000186264458E-2</v>
      </c>
      <c r="P25">
        <f t="shared" si="0"/>
        <v>2.0000000018626434E-2</v>
      </c>
      <c r="Q25">
        <f t="shared" si="0"/>
        <v>4.0000000037252861E-2</v>
      </c>
      <c r="R25">
        <f t="shared" si="0"/>
        <v>3.0000000074505779E-2</v>
      </c>
      <c r="S25">
        <f t="shared" si="0"/>
        <v>3.9999999944120609E-2</v>
      </c>
      <c r="T25">
        <f t="shared" si="0"/>
        <v>1.1049999998882403</v>
      </c>
      <c r="U25">
        <f t="shared" si="0"/>
        <v>1.2199999998323601</v>
      </c>
      <c r="V25">
        <f t="shared" si="0"/>
        <v>1.3450000001117548</v>
      </c>
      <c r="W25">
        <f t="shared" si="0"/>
        <v>1.2650000000372503</v>
      </c>
      <c r="X25">
        <f t="shared" si="0"/>
        <v>1.1749999999068663</v>
      </c>
      <c r="Y25">
        <f t="shared" si="0"/>
        <v>1.0999999999999976</v>
      </c>
      <c r="Z25">
        <f t="shared" si="0"/>
        <v>39.355000000260731</v>
      </c>
      <c r="AA25">
        <f t="shared" si="0"/>
        <v>39.174999999999976</v>
      </c>
      <c r="AB25">
        <f t="shared" si="0"/>
        <v>38.43460879653248</v>
      </c>
      <c r="AC25">
        <f t="shared" si="0"/>
        <v>38.810000000148968</v>
      </c>
      <c r="AD25">
        <f t="shared" si="0"/>
        <v>39.649999999813687</v>
      </c>
      <c r="AE25">
        <f t="shared" si="0"/>
        <v>38.149999999813687</v>
      </c>
      <c r="AF25">
        <f t="shared" si="0"/>
        <v>0.15000000018626425</v>
      </c>
      <c r="AG25">
        <f t="shared" si="0"/>
        <v>0.16500000003725263</v>
      </c>
      <c r="AH25">
        <f t="shared" si="0"/>
        <v>0.20499999960884407</v>
      </c>
      <c r="AI25">
        <f t="shared" si="0"/>
        <v>0.19500000029802306</v>
      </c>
      <c r="AJ25">
        <f t="shared" si="0"/>
        <v>0.20499999988824072</v>
      </c>
      <c r="AK25">
        <f t="shared" si="0"/>
        <v>0.18000000007450556</v>
      </c>
      <c r="AL25">
        <f t="shared" si="0"/>
        <v>1.2099999998696114</v>
      </c>
      <c r="AM25">
        <f t="shared" si="0"/>
        <v>1.2399999998509843</v>
      </c>
      <c r="AN25">
        <f t="shared" si="0"/>
        <v>1.1550000000745027</v>
      </c>
      <c r="AO25">
        <f t="shared" si="0"/>
        <v>1.3100000000558754</v>
      </c>
      <c r="AP25">
        <f t="shared" si="0"/>
        <v>1.1750000001862606</v>
      </c>
      <c r="AQ25">
        <f t="shared" si="0"/>
        <v>1.2349999996833478</v>
      </c>
      <c r="AR25">
        <f t="shared" si="0"/>
        <v>40.134999999776447</v>
      </c>
      <c r="AS25">
        <f t="shared" si="0"/>
        <v>39.464999999664684</v>
      </c>
      <c r="AT25">
        <f t="shared" si="0"/>
        <v>39.685000000148989</v>
      </c>
      <c r="AU25">
        <f t="shared" si="0"/>
        <v>37.819999999925457</v>
      </c>
      <c r="AV25">
        <f t="shared" si="0"/>
        <v>38.624999999813696</v>
      </c>
      <c r="AW25">
        <f t="shared" si="0"/>
        <v>38.595000000111725</v>
      </c>
      <c r="AX25">
        <f t="shared" si="0"/>
        <v>0.26500000003725244</v>
      </c>
      <c r="AY25">
        <f t="shared" si="0"/>
        <v>0.31500000003725265</v>
      </c>
      <c r="AZ25">
        <f t="shared" si="0"/>
        <v>0.34499999936670012</v>
      </c>
      <c r="BA25">
        <f t="shared" si="0"/>
        <v>0.43499999959021746</v>
      </c>
      <c r="BB25">
        <f t="shared" si="0"/>
        <v>0.2650000004097815</v>
      </c>
      <c r="BC25">
        <f t="shared" si="0"/>
        <v>0.25500000044703441</v>
      </c>
      <c r="BD25">
        <f t="shared" si="0"/>
        <v>7.7799999998882399</v>
      </c>
      <c r="BE25">
        <f t="shared" si="0"/>
        <v>6.5650000000372515</v>
      </c>
      <c r="BF25">
        <f t="shared" si="0"/>
        <v>8.0349999997764794</v>
      </c>
      <c r="BG25">
        <f t="shared" si="0"/>
        <v>8.7150000000372501</v>
      </c>
      <c r="BH25">
        <f>AVERAGE(BH5:BH24)</f>
        <v>6.6699999999254898</v>
      </c>
      <c r="BI25">
        <f t="shared" si="0"/>
        <v>6.8200000001117562</v>
      </c>
      <c r="BJ25">
        <f t="shared" si="0"/>
        <v>59.030000000260756</v>
      </c>
      <c r="BK25">
        <f t="shared" si="0"/>
        <v>61.959999999590174</v>
      </c>
      <c r="BL25">
        <f t="shared" si="0"/>
        <v>66.704999999701954</v>
      </c>
      <c r="BM25">
        <f t="shared" si="0"/>
        <v>82.734999999776448</v>
      </c>
      <c r="BN25">
        <f t="shared" si="0"/>
        <v>46.019999999925446</v>
      </c>
      <c r="BO25">
        <f t="shared" ref="BO25:CM25" si="1">AVERAGE(BO5:BO24)</f>
        <v>64.560000000521512</v>
      </c>
      <c r="BP25">
        <f t="shared" si="1"/>
        <v>5.4600000007077991</v>
      </c>
      <c r="BQ25">
        <f t="shared" si="1"/>
        <v>5.2849999995902142</v>
      </c>
      <c r="BR25">
        <f t="shared" si="1"/>
        <v>6.0199999999254938</v>
      </c>
      <c r="BS25">
        <f t="shared" si="1"/>
        <v>6.9800000000745026</v>
      </c>
      <c r="BT25">
        <f t="shared" si="1"/>
        <v>4.5050000000745039</v>
      </c>
      <c r="BU25">
        <f t="shared" si="1"/>
        <v>5.3599999995902134</v>
      </c>
      <c r="BV25">
        <f t="shared" si="1"/>
        <v>9.3799999997950998</v>
      </c>
      <c r="BW25">
        <f t="shared" si="1"/>
        <v>5.9650000001303818</v>
      </c>
      <c r="BX25">
        <f t="shared" si="1"/>
        <v>2.3400000001303818</v>
      </c>
      <c r="BY25">
        <f t="shared" si="1"/>
        <v>2.0799999997951053</v>
      </c>
      <c r="BZ25">
        <f t="shared" si="1"/>
        <v>10.965000000037236</v>
      </c>
      <c r="CA25">
        <f t="shared" si="1"/>
        <v>2.8400000001303818</v>
      </c>
      <c r="CB25">
        <f t="shared" si="1"/>
        <v>656.67999999988785</v>
      </c>
      <c r="CC25">
        <f t="shared" si="1"/>
        <v>361.82999999988795</v>
      </c>
      <c r="CD25">
        <f t="shared" si="1"/>
        <v>69.225000000372489</v>
      </c>
      <c r="CE25">
        <f t="shared" si="1"/>
        <v>79.669999999366681</v>
      </c>
      <c r="CF25">
        <f t="shared" si="1"/>
        <v>649.53000000026043</v>
      </c>
      <c r="CG25">
        <f t="shared" si="1"/>
        <v>74.104999999515684</v>
      </c>
      <c r="CH25">
        <f t="shared" si="1"/>
        <v>1.3799999999813699</v>
      </c>
      <c r="CI25">
        <f t="shared" si="1"/>
        <v>1.0349999999627451</v>
      </c>
      <c r="CJ25">
        <f t="shared" si="1"/>
        <v>0.49000000013038497</v>
      </c>
      <c r="CK25">
        <f t="shared" si="1"/>
        <v>0.49500000020489088</v>
      </c>
      <c r="CL25">
        <f t="shared" si="1"/>
        <v>1.1749999998137326</v>
      </c>
      <c r="CM25">
        <f t="shared" si="1"/>
        <v>0.55499999998137339</v>
      </c>
    </row>
    <row r="26" spans="1:91">
      <c r="A26" s="15" t="s">
        <v>16</v>
      </c>
      <c r="B26">
        <f>MEDIAN(B5:B24)</f>
        <v>0.80000000074505795</v>
      </c>
      <c r="C26">
        <f t="shared" ref="C26:BN26" si="2">MEDIAN(C5:C24)</f>
        <v>0.79999999981373504</v>
      </c>
      <c r="D26">
        <f t="shared" si="2"/>
        <v>0.85000000055879354</v>
      </c>
      <c r="E26">
        <f t="shared" si="2"/>
        <v>0.90000000037252903</v>
      </c>
      <c r="F26">
        <f t="shared" si="2"/>
        <v>0.89999999944120601</v>
      </c>
      <c r="G26">
        <f t="shared" si="2"/>
        <v>0.80000000074505795</v>
      </c>
      <c r="H26">
        <f t="shared" si="2"/>
        <v>25.5</v>
      </c>
      <c r="I26">
        <f t="shared" si="2"/>
        <v>25.600000001490098</v>
      </c>
      <c r="J26">
        <f t="shared" si="2"/>
        <v>26.799999998882349</v>
      </c>
      <c r="K26">
        <f t="shared" si="2"/>
        <v>25.449999999254899</v>
      </c>
      <c r="L26">
        <f t="shared" si="2"/>
        <v>25.800000000745001</v>
      </c>
      <c r="M26">
        <f t="shared" si="2"/>
        <v>25.300000000745001</v>
      </c>
      <c r="N26">
        <f t="shared" si="2"/>
        <v>0</v>
      </c>
      <c r="O26">
        <f t="shared" si="2"/>
        <v>4.999999981373545E-2</v>
      </c>
      <c r="P26">
        <f t="shared" si="2"/>
        <v>0</v>
      </c>
      <c r="Q26">
        <f t="shared" si="2"/>
        <v>0</v>
      </c>
      <c r="R26">
        <f t="shared" si="2"/>
        <v>0</v>
      </c>
      <c r="S26">
        <f t="shared" si="2"/>
        <v>0</v>
      </c>
      <c r="T26">
        <f t="shared" si="2"/>
        <v>1.0999999996274701</v>
      </c>
      <c r="U26">
        <f t="shared" si="2"/>
        <v>1.0999999996274701</v>
      </c>
      <c r="V26">
        <f t="shared" si="2"/>
        <v>1.2999999998137302</v>
      </c>
      <c r="W26">
        <f t="shared" si="2"/>
        <v>1.0999999996274701</v>
      </c>
      <c r="X26">
        <f t="shared" si="2"/>
        <v>1.0999999996274701</v>
      </c>
      <c r="Y26">
        <f t="shared" si="2"/>
        <v>1.0999999996274701</v>
      </c>
      <c r="Z26">
        <f t="shared" si="2"/>
        <v>39.399999998509799</v>
      </c>
      <c r="AA26">
        <f t="shared" si="2"/>
        <v>39.199999999254899</v>
      </c>
      <c r="AB26">
        <f t="shared" si="2"/>
        <v>38.63912745596226</v>
      </c>
      <c r="AC26">
        <f t="shared" si="2"/>
        <v>38.8499999996274</v>
      </c>
      <c r="AD26">
        <f t="shared" si="2"/>
        <v>39.5</v>
      </c>
      <c r="AE26">
        <f t="shared" si="2"/>
        <v>38.150000000372501</v>
      </c>
      <c r="AF26">
        <f t="shared" si="2"/>
        <v>0.10000000149011599</v>
      </c>
      <c r="AG26">
        <f t="shared" si="2"/>
        <v>0.199999999254941</v>
      </c>
      <c r="AH26">
        <f t="shared" si="2"/>
        <v>0.199999999254941</v>
      </c>
      <c r="AI26">
        <f t="shared" si="2"/>
        <v>0.199999999254941</v>
      </c>
      <c r="AJ26">
        <f t="shared" si="2"/>
        <v>0.199999999254941</v>
      </c>
      <c r="AK26">
        <f t="shared" si="2"/>
        <v>0.199999999254941</v>
      </c>
      <c r="AL26">
        <f t="shared" si="2"/>
        <v>1.1999999992549399</v>
      </c>
      <c r="AM26">
        <f t="shared" si="2"/>
        <v>1.20000000111758</v>
      </c>
      <c r="AN26">
        <f t="shared" si="2"/>
        <v>1.1999999992549399</v>
      </c>
      <c r="AO26">
        <f t="shared" si="2"/>
        <v>1.20000000111758</v>
      </c>
      <c r="AP26">
        <f t="shared" si="2"/>
        <v>1.1999999992549399</v>
      </c>
      <c r="AQ26">
        <f t="shared" si="2"/>
        <v>1.1999999992549399</v>
      </c>
      <c r="AR26">
        <f t="shared" si="2"/>
        <v>39.699999999254899</v>
      </c>
      <c r="AS26">
        <f t="shared" si="2"/>
        <v>39.300000000745001</v>
      </c>
      <c r="AT26">
        <f t="shared" si="2"/>
        <v>39.5</v>
      </c>
      <c r="AU26">
        <f t="shared" si="2"/>
        <v>38.899999998509799</v>
      </c>
      <c r="AV26">
        <f t="shared" si="2"/>
        <v>38.699999999254899</v>
      </c>
      <c r="AW26">
        <f t="shared" si="2"/>
        <v>38.5</v>
      </c>
      <c r="AX26">
        <f t="shared" si="2"/>
        <v>0.20000000298023199</v>
      </c>
      <c r="AY26">
        <f t="shared" si="2"/>
        <v>0.300000000745058</v>
      </c>
      <c r="AZ26">
        <f t="shared" si="2"/>
        <v>0.300000000745058</v>
      </c>
      <c r="BA26">
        <f t="shared" si="2"/>
        <v>0.39999999850988299</v>
      </c>
      <c r="BB26">
        <f t="shared" si="2"/>
        <v>0.20000000298023199</v>
      </c>
      <c r="BC26">
        <f t="shared" si="2"/>
        <v>0.20000000298023199</v>
      </c>
      <c r="BD26">
        <f t="shared" si="2"/>
        <v>7.7000000011175853</v>
      </c>
      <c r="BE26">
        <f t="shared" si="2"/>
        <v>6.5</v>
      </c>
      <c r="BF26">
        <f t="shared" si="2"/>
        <v>8</v>
      </c>
      <c r="BG26">
        <f t="shared" si="2"/>
        <v>8.6500000003725255</v>
      </c>
      <c r="BH26">
        <f>MEDIAN(BH5:BH24)</f>
        <v>6.0500000007450545</v>
      </c>
      <c r="BI26">
        <f t="shared" si="2"/>
        <v>6.7499999999999947</v>
      </c>
      <c r="BJ26">
        <f t="shared" si="2"/>
        <v>58.049999998882399</v>
      </c>
      <c r="BK26">
        <f t="shared" si="2"/>
        <v>61.800000000745001</v>
      </c>
      <c r="BL26">
        <f t="shared" si="2"/>
        <v>64.699999999254899</v>
      </c>
      <c r="BM26">
        <f t="shared" si="2"/>
        <v>82.699999999254899</v>
      </c>
      <c r="BN26">
        <f t="shared" si="2"/>
        <v>45.950000001117552</v>
      </c>
      <c r="BO26">
        <f t="shared" ref="BO26:CM26" si="3">MEDIAN(BO5:BO24)</f>
        <v>61.300000000745001</v>
      </c>
      <c r="BP26">
        <f t="shared" si="3"/>
        <v>5.3000000007450501</v>
      </c>
      <c r="BQ26">
        <f t="shared" si="3"/>
        <v>5.1999999992549402</v>
      </c>
      <c r="BR26">
        <f t="shared" si="3"/>
        <v>6</v>
      </c>
      <c r="BS26">
        <f t="shared" si="3"/>
        <v>6.7499999999999947</v>
      </c>
      <c r="BT26">
        <f t="shared" si="3"/>
        <v>4.3999999985098803</v>
      </c>
      <c r="BU26">
        <f t="shared" si="3"/>
        <v>5.3000000007450501</v>
      </c>
      <c r="BV26">
        <f t="shared" si="3"/>
        <v>9.0999999996274692</v>
      </c>
      <c r="BW26">
        <f t="shared" si="3"/>
        <v>5.4999999999999947</v>
      </c>
      <c r="BX26">
        <f t="shared" si="3"/>
        <v>2.250000000931315</v>
      </c>
      <c r="BY26">
        <f t="shared" si="3"/>
        <v>1.8999999994412</v>
      </c>
      <c r="BZ26">
        <f t="shared" si="3"/>
        <v>9.7499999999999947</v>
      </c>
      <c r="CA26">
        <f t="shared" si="3"/>
        <v>2.4000000003725201</v>
      </c>
      <c r="CB26">
        <f t="shared" si="3"/>
        <v>653.99999999999955</v>
      </c>
      <c r="CC26">
        <f t="shared" si="3"/>
        <v>368.84999999962702</v>
      </c>
      <c r="CD26">
        <f t="shared" si="3"/>
        <v>69.950000001117559</v>
      </c>
      <c r="CE26">
        <f t="shared" si="3"/>
        <v>79.049999998882399</v>
      </c>
      <c r="CF26">
        <f t="shared" si="3"/>
        <v>648.80000000260748</v>
      </c>
      <c r="CG26">
        <f t="shared" si="3"/>
        <v>74.049999998882399</v>
      </c>
      <c r="CH26">
        <f t="shared" si="3"/>
        <v>1.3000000007450501</v>
      </c>
      <c r="CI26">
        <f t="shared" si="3"/>
        <v>1</v>
      </c>
      <c r="CJ26">
        <f t="shared" si="3"/>
        <v>0.5</v>
      </c>
      <c r="CK26">
        <f t="shared" si="3"/>
        <v>0.5</v>
      </c>
      <c r="CL26">
        <f t="shared" si="3"/>
        <v>1.1999999992549399</v>
      </c>
      <c r="CM26">
        <f t="shared" si="3"/>
        <v>0.54999999981373549</v>
      </c>
    </row>
    <row r="27" spans="1:91">
      <c r="A27" s="15" t="s">
        <v>31</v>
      </c>
      <c r="B27">
        <f>MIN(B5:B24)</f>
        <v>0.69999999925494105</v>
      </c>
      <c r="C27">
        <f t="shared" ref="C27:BN27" si="4">MIN(C5:C24)</f>
        <v>0.59999999962747097</v>
      </c>
      <c r="D27">
        <f t="shared" si="4"/>
        <v>0.69999999925494105</v>
      </c>
      <c r="E27">
        <f t="shared" si="4"/>
        <v>0.79999999888241202</v>
      </c>
      <c r="F27">
        <f t="shared" si="4"/>
        <v>0.70000000111758698</v>
      </c>
      <c r="G27">
        <f t="shared" si="4"/>
        <v>0.69999999925494105</v>
      </c>
      <c r="H27">
        <f t="shared" si="4"/>
        <v>25.300000000745001</v>
      </c>
      <c r="I27">
        <f t="shared" si="4"/>
        <v>25.5</v>
      </c>
      <c r="J27">
        <f t="shared" si="4"/>
        <v>26.599999997764801</v>
      </c>
      <c r="K27">
        <f t="shared" si="4"/>
        <v>25.199999999254899</v>
      </c>
      <c r="L27">
        <f t="shared" si="4"/>
        <v>25.699999999254899</v>
      </c>
      <c r="M27">
        <f t="shared" si="4"/>
        <v>25.100000001490098</v>
      </c>
      <c r="N27">
        <f t="shared" si="4"/>
        <v>0</v>
      </c>
      <c r="O27">
        <f t="shared" si="4"/>
        <v>0</v>
      </c>
      <c r="P27">
        <f t="shared" si="4"/>
        <v>0</v>
      </c>
      <c r="Q27">
        <f t="shared" si="4"/>
        <v>0</v>
      </c>
      <c r="R27">
        <f t="shared" si="4"/>
        <v>0</v>
      </c>
      <c r="S27">
        <f t="shared" si="4"/>
        <v>0</v>
      </c>
      <c r="T27">
        <f t="shared" si="4"/>
        <v>0.90000000037252903</v>
      </c>
      <c r="U27">
        <f t="shared" si="4"/>
        <v>1</v>
      </c>
      <c r="V27">
        <f t="shared" si="4"/>
        <v>1</v>
      </c>
      <c r="W27">
        <f t="shared" si="4"/>
        <v>0.89999999850988299</v>
      </c>
      <c r="X27">
        <f t="shared" si="4"/>
        <v>1</v>
      </c>
      <c r="Y27">
        <f t="shared" si="4"/>
        <v>0.89999999850988299</v>
      </c>
      <c r="Z27">
        <f t="shared" si="4"/>
        <v>38.700000002980197</v>
      </c>
      <c r="AA27">
        <f t="shared" si="4"/>
        <v>38.5</v>
      </c>
      <c r="AB27">
        <f t="shared" si="4"/>
        <v>31.434433172949785</v>
      </c>
      <c r="AC27">
        <f t="shared" si="4"/>
        <v>38.199999999254899</v>
      </c>
      <c r="AD27">
        <f t="shared" si="4"/>
        <v>39.099999997764797</v>
      </c>
      <c r="AE27">
        <f t="shared" si="4"/>
        <v>37.800000000745001</v>
      </c>
      <c r="AF27">
        <f t="shared" si="4"/>
        <v>9.9999999627470901E-2</v>
      </c>
      <c r="AG27">
        <f t="shared" si="4"/>
        <v>9.9999999627470901E-2</v>
      </c>
      <c r="AH27">
        <f t="shared" si="4"/>
        <v>9.9999999627470901E-2</v>
      </c>
      <c r="AI27">
        <f t="shared" si="4"/>
        <v>9.9999999627470901E-2</v>
      </c>
      <c r="AJ27">
        <f t="shared" si="4"/>
        <v>9.9999999627470901E-2</v>
      </c>
      <c r="AK27">
        <f t="shared" si="4"/>
        <v>9.9999999627470901E-2</v>
      </c>
      <c r="AL27">
        <f t="shared" si="4"/>
        <v>1.0999999996274701</v>
      </c>
      <c r="AM27">
        <f t="shared" si="4"/>
        <v>1.0999999996274701</v>
      </c>
      <c r="AN27">
        <f t="shared" si="4"/>
        <v>1</v>
      </c>
      <c r="AO27">
        <f t="shared" si="4"/>
        <v>1.0999999996274701</v>
      </c>
      <c r="AP27">
        <f t="shared" si="4"/>
        <v>1.0999999996274701</v>
      </c>
      <c r="AQ27">
        <f t="shared" si="4"/>
        <v>1.0999999996274701</v>
      </c>
      <c r="AR27">
        <f t="shared" si="4"/>
        <v>39.5</v>
      </c>
      <c r="AS27">
        <f t="shared" si="4"/>
        <v>38.800000000745001</v>
      </c>
      <c r="AT27">
        <f t="shared" si="4"/>
        <v>39</v>
      </c>
      <c r="AU27">
        <f t="shared" si="4"/>
        <v>33.899999998509799</v>
      </c>
      <c r="AV27">
        <f t="shared" si="4"/>
        <v>37.899999998509799</v>
      </c>
      <c r="AW27">
        <f t="shared" si="4"/>
        <v>38.100000001490102</v>
      </c>
      <c r="AX27">
        <f t="shared" si="4"/>
        <v>0.10000000149011599</v>
      </c>
      <c r="AY27">
        <f t="shared" si="4"/>
        <v>0.199999999254941</v>
      </c>
      <c r="AZ27">
        <f t="shared" si="4"/>
        <v>9.9999997764825793E-2</v>
      </c>
      <c r="BA27">
        <f t="shared" si="4"/>
        <v>0.199999999254941</v>
      </c>
      <c r="BB27">
        <f t="shared" si="4"/>
        <v>0.10000000149011599</v>
      </c>
      <c r="BC27">
        <f t="shared" si="4"/>
        <v>9.9999997764825793E-2</v>
      </c>
      <c r="BD27">
        <f t="shared" si="4"/>
        <v>7.3999999985098803</v>
      </c>
      <c r="BE27">
        <f t="shared" si="4"/>
        <v>6.3999999985098803</v>
      </c>
      <c r="BF27">
        <f t="shared" si="4"/>
        <v>7.3999999985098803</v>
      </c>
      <c r="BG27">
        <f t="shared" si="4"/>
        <v>8.3000000007450492</v>
      </c>
      <c r="BH27">
        <f t="shared" si="4"/>
        <v>5.6999999992549402</v>
      </c>
      <c r="BI27">
        <f t="shared" si="4"/>
        <v>6.5</v>
      </c>
      <c r="BJ27">
        <f t="shared" si="4"/>
        <v>57.5</v>
      </c>
      <c r="BK27">
        <f t="shared" si="4"/>
        <v>61.399999998509799</v>
      </c>
      <c r="BL27">
        <f t="shared" si="4"/>
        <v>64.5</v>
      </c>
      <c r="BM27">
        <f t="shared" si="4"/>
        <v>82.199999999254899</v>
      </c>
      <c r="BN27">
        <f t="shared" si="4"/>
        <v>45.600000001490102</v>
      </c>
      <c r="BO27">
        <f t="shared" ref="BO27:CM27" si="5">MIN(BO5:BO24)</f>
        <v>60.100000001490102</v>
      </c>
      <c r="BP27">
        <f t="shared" si="5"/>
        <v>5.0999999977648196</v>
      </c>
      <c r="BQ27">
        <f t="shared" si="5"/>
        <v>5</v>
      </c>
      <c r="BR27">
        <f t="shared" si="5"/>
        <v>5.8999999985098803</v>
      </c>
      <c r="BS27">
        <f t="shared" si="5"/>
        <v>6.5999999977648196</v>
      </c>
      <c r="BT27">
        <f t="shared" si="5"/>
        <v>3.8999999985098799</v>
      </c>
      <c r="BU27">
        <f t="shared" si="5"/>
        <v>5.0999999977648196</v>
      </c>
      <c r="BV27">
        <f t="shared" si="5"/>
        <v>7.20000000111758</v>
      </c>
      <c r="BW27">
        <f t="shared" si="5"/>
        <v>4.8999999985098803</v>
      </c>
      <c r="BX27">
        <f t="shared" si="5"/>
        <v>1.5999999996274701</v>
      </c>
      <c r="BY27">
        <f t="shared" si="5"/>
        <v>1.5</v>
      </c>
      <c r="BZ27">
        <f t="shared" si="5"/>
        <v>8.4000000003725201</v>
      </c>
      <c r="CA27">
        <f t="shared" si="5"/>
        <v>2</v>
      </c>
      <c r="CB27">
        <f t="shared" si="5"/>
        <v>614.19999999925403</v>
      </c>
      <c r="CC27">
        <f t="shared" si="5"/>
        <v>341.39999999850897</v>
      </c>
      <c r="CD27">
        <f t="shared" si="5"/>
        <v>63.400000002235103</v>
      </c>
      <c r="CE27">
        <f t="shared" si="5"/>
        <v>77.699999999254899</v>
      </c>
      <c r="CF27">
        <f t="shared" si="5"/>
        <v>622.60000000149</v>
      </c>
      <c r="CG27">
        <f t="shared" si="5"/>
        <v>73.399999998509799</v>
      </c>
      <c r="CH27">
        <f t="shared" si="5"/>
        <v>0.90000000037252903</v>
      </c>
      <c r="CI27">
        <f t="shared" si="5"/>
        <v>0.59999999962747097</v>
      </c>
      <c r="CJ27">
        <f t="shared" si="5"/>
        <v>0.199999999254941</v>
      </c>
      <c r="CK27">
        <f t="shared" si="5"/>
        <v>0.20000000111758701</v>
      </c>
      <c r="CL27">
        <f t="shared" si="5"/>
        <v>0.80000000074505795</v>
      </c>
      <c r="CM27">
        <f t="shared" si="5"/>
        <v>0.29999999888241202</v>
      </c>
    </row>
    <row r="28" spans="1:91">
      <c r="A28" s="15" t="s">
        <v>32</v>
      </c>
      <c r="B28">
        <f>MAX(B5:B24)</f>
        <v>1</v>
      </c>
      <c r="C28">
        <f t="shared" ref="C28:BN28" si="6">MAX(C5:C24)</f>
        <v>1.1999999992549399</v>
      </c>
      <c r="D28">
        <f t="shared" si="6"/>
        <v>1.20000000111758</v>
      </c>
      <c r="E28">
        <f t="shared" si="6"/>
        <v>1.8999999985098801</v>
      </c>
      <c r="F28">
        <f t="shared" si="6"/>
        <v>1.29999999888241</v>
      </c>
      <c r="G28">
        <f t="shared" si="6"/>
        <v>1.1999999992549399</v>
      </c>
      <c r="H28">
        <f t="shared" si="6"/>
        <v>26.699999999254899</v>
      </c>
      <c r="I28">
        <f t="shared" si="6"/>
        <v>28.199999999254899</v>
      </c>
      <c r="J28">
        <f t="shared" si="6"/>
        <v>27.100000001490098</v>
      </c>
      <c r="K28">
        <f t="shared" si="6"/>
        <v>35.5</v>
      </c>
      <c r="L28">
        <f t="shared" si="6"/>
        <v>28</v>
      </c>
      <c r="M28">
        <f t="shared" si="6"/>
        <v>27.599999997764801</v>
      </c>
      <c r="N28">
        <f t="shared" si="6"/>
        <v>9.9999999627470901E-2</v>
      </c>
      <c r="O28">
        <f t="shared" si="6"/>
        <v>0.10000000149011599</v>
      </c>
      <c r="P28">
        <f t="shared" si="6"/>
        <v>0.10000000149011599</v>
      </c>
      <c r="Q28">
        <f t="shared" si="6"/>
        <v>0.10000000149011599</v>
      </c>
      <c r="R28">
        <f t="shared" si="6"/>
        <v>0.10000000149011599</v>
      </c>
      <c r="S28">
        <f t="shared" si="6"/>
        <v>0.10000000149011599</v>
      </c>
      <c r="T28">
        <f t="shared" si="6"/>
        <v>1.5999999996274701</v>
      </c>
      <c r="U28">
        <f t="shared" si="6"/>
        <v>2.0999999996274701</v>
      </c>
      <c r="V28">
        <f t="shared" si="6"/>
        <v>2.1999999992549402</v>
      </c>
      <c r="W28">
        <f t="shared" si="6"/>
        <v>2.9000000003725201</v>
      </c>
      <c r="X28">
        <f t="shared" si="6"/>
        <v>2.3000000007450501</v>
      </c>
      <c r="Y28">
        <f t="shared" si="6"/>
        <v>1.3999999985098801</v>
      </c>
      <c r="Z28">
        <f t="shared" si="6"/>
        <v>39.800000000745001</v>
      </c>
      <c r="AA28">
        <f t="shared" si="6"/>
        <v>39.5</v>
      </c>
      <c r="AB28">
        <f t="shared" si="6"/>
        <v>44.312260838990682</v>
      </c>
      <c r="AC28">
        <f t="shared" si="6"/>
        <v>39.199999999254899</v>
      </c>
      <c r="AD28">
        <f t="shared" si="6"/>
        <v>42.199999999254899</v>
      </c>
      <c r="AE28">
        <f t="shared" si="6"/>
        <v>38.600000001490102</v>
      </c>
      <c r="AF28">
        <f t="shared" si="6"/>
        <v>0.29999999888241202</v>
      </c>
      <c r="AG28">
        <f t="shared" si="6"/>
        <v>0.300000000745058</v>
      </c>
      <c r="AH28">
        <f t="shared" si="6"/>
        <v>0.79999999888241202</v>
      </c>
      <c r="AI28">
        <f t="shared" si="6"/>
        <v>0.40000000037252897</v>
      </c>
      <c r="AJ28">
        <f t="shared" si="6"/>
        <v>0.300000000745058</v>
      </c>
      <c r="AK28">
        <f t="shared" si="6"/>
        <v>0.40000000037252897</v>
      </c>
      <c r="AL28">
        <f t="shared" si="6"/>
        <v>1.70000000111758</v>
      </c>
      <c r="AM28">
        <f t="shared" si="6"/>
        <v>1.3999999985098801</v>
      </c>
      <c r="AN28">
        <f t="shared" si="6"/>
        <v>1.20000000111758</v>
      </c>
      <c r="AO28">
        <f t="shared" si="6"/>
        <v>2.5</v>
      </c>
      <c r="AP28">
        <f t="shared" si="6"/>
        <v>1.3000000007450501</v>
      </c>
      <c r="AQ28">
        <f t="shared" si="6"/>
        <v>1.5</v>
      </c>
      <c r="AR28">
        <f t="shared" si="6"/>
        <v>44.5</v>
      </c>
      <c r="AS28">
        <f t="shared" si="6"/>
        <v>41.399999998509799</v>
      </c>
      <c r="AT28">
        <f t="shared" si="6"/>
        <v>43.699999999254899</v>
      </c>
      <c r="AU28">
        <f t="shared" si="6"/>
        <v>43.300000000745001</v>
      </c>
      <c r="AV28">
        <f t="shared" si="6"/>
        <v>38.899999998509799</v>
      </c>
      <c r="AW28">
        <f t="shared" si="6"/>
        <v>40.600000001490102</v>
      </c>
      <c r="AX28">
        <f t="shared" si="6"/>
        <v>0.5</v>
      </c>
      <c r="AY28">
        <f t="shared" si="6"/>
        <v>0.5</v>
      </c>
      <c r="AZ28">
        <f t="shared" si="6"/>
        <v>0.69999999925494105</v>
      </c>
      <c r="BA28">
        <f t="shared" si="6"/>
        <v>1.1999999992549399</v>
      </c>
      <c r="BB28">
        <f t="shared" si="6"/>
        <v>0.5</v>
      </c>
      <c r="BC28">
        <f t="shared" si="6"/>
        <v>0.5</v>
      </c>
      <c r="BD28">
        <f t="shared" si="6"/>
        <v>8.1999999992549402</v>
      </c>
      <c r="BE28">
        <f t="shared" si="6"/>
        <v>7</v>
      </c>
      <c r="BF28">
        <f t="shared" si="6"/>
        <v>8.6000000014901108</v>
      </c>
      <c r="BG28">
        <f t="shared" si="6"/>
        <v>9.6999999992549402</v>
      </c>
      <c r="BH28">
        <f t="shared" si="6"/>
        <v>11.099999997764799</v>
      </c>
      <c r="BI28">
        <f t="shared" si="6"/>
        <v>7.3000000007450501</v>
      </c>
      <c r="BJ28">
        <f t="shared" si="6"/>
        <v>66.700000002980204</v>
      </c>
      <c r="BK28">
        <f t="shared" si="6"/>
        <v>63.299999997019697</v>
      </c>
      <c r="BL28">
        <f t="shared" si="6"/>
        <v>93.199999999254899</v>
      </c>
      <c r="BM28">
        <f t="shared" si="6"/>
        <v>83.600000001490102</v>
      </c>
      <c r="BN28">
        <f t="shared" si="6"/>
        <v>46.899999998509799</v>
      </c>
      <c r="BO28">
        <f t="shared" ref="BO28:CM28" si="7">MAX(BO5:BO24)</f>
        <v>73.699999999254899</v>
      </c>
      <c r="BP28">
        <f t="shared" si="7"/>
        <v>8</v>
      </c>
      <c r="BQ28">
        <f t="shared" si="7"/>
        <v>5.8000000007450501</v>
      </c>
      <c r="BR28">
        <f t="shared" si="7"/>
        <v>6.7000000029802296</v>
      </c>
      <c r="BS28">
        <f t="shared" si="7"/>
        <v>8.5</v>
      </c>
      <c r="BT28">
        <f t="shared" si="7"/>
        <v>8.4000000022351706</v>
      </c>
      <c r="BU28">
        <f t="shared" si="7"/>
        <v>5.8000000007450501</v>
      </c>
      <c r="BV28">
        <f t="shared" si="7"/>
        <v>12.900000000372501</v>
      </c>
      <c r="BW28">
        <f t="shared" si="7"/>
        <v>8.5999999996274692</v>
      </c>
      <c r="BX28">
        <f t="shared" si="7"/>
        <v>3.7999999988824098</v>
      </c>
      <c r="BY28">
        <f t="shared" si="7"/>
        <v>3.4000000003725201</v>
      </c>
      <c r="BZ28">
        <f t="shared" si="7"/>
        <v>17.900000000372501</v>
      </c>
      <c r="CA28">
        <f t="shared" si="7"/>
        <v>6.0999999996274701</v>
      </c>
      <c r="CB28">
        <f t="shared" si="7"/>
        <v>680.60000000149</v>
      </c>
      <c r="CC28">
        <f t="shared" si="7"/>
        <v>383.300000000745</v>
      </c>
      <c r="CD28">
        <f t="shared" si="7"/>
        <v>72.300000000745001</v>
      </c>
      <c r="CE28">
        <f t="shared" si="7"/>
        <v>90.600000001490102</v>
      </c>
      <c r="CF28">
        <f t="shared" si="7"/>
        <v>675.89999999850897</v>
      </c>
      <c r="CG28">
        <f t="shared" si="7"/>
        <v>76.399999998509799</v>
      </c>
      <c r="CH28">
        <f t="shared" si="7"/>
        <v>2.0999999996274701</v>
      </c>
      <c r="CI28">
        <f t="shared" si="7"/>
        <v>1.5</v>
      </c>
      <c r="CJ28">
        <f t="shared" si="7"/>
        <v>0.90000000037252903</v>
      </c>
      <c r="CK28">
        <f t="shared" si="7"/>
        <v>0.70000000111758698</v>
      </c>
      <c r="CL28">
        <f t="shared" si="7"/>
        <v>1.8000000007450501</v>
      </c>
      <c r="CM28">
        <f t="shared" si="7"/>
        <v>0.90000000037252903</v>
      </c>
    </row>
    <row r="29" spans="1:91">
      <c r="A29" s="16" t="s">
        <v>14</v>
      </c>
    </row>
    <row r="30" spans="1:91">
      <c r="A30">
        <f>MIN(B27:CN27)</f>
        <v>0</v>
      </c>
    </row>
    <row r="31" spans="1:91">
      <c r="A31" s="17" t="s">
        <v>33</v>
      </c>
    </row>
    <row r="32" spans="1:91">
      <c r="A32">
        <f>MAX(B28:CN28)</f>
        <v>680.60000000149</v>
      </c>
    </row>
  </sheetData>
  <mergeCells count="20">
    <mergeCell ref="AF3:AK3"/>
    <mergeCell ref="B2:S2"/>
    <mergeCell ref="T2:AK2"/>
    <mergeCell ref="AL2:BC2"/>
    <mergeCell ref="BD2:BU2"/>
    <mergeCell ref="B3:G3"/>
    <mergeCell ref="H3:M3"/>
    <mergeCell ref="N3:S3"/>
    <mergeCell ref="T3:Y3"/>
    <mergeCell ref="Z3:AE3"/>
    <mergeCell ref="AL3:AQ3"/>
    <mergeCell ref="AR3:AW3"/>
    <mergeCell ref="AX3:BC3"/>
    <mergeCell ref="BD3:BI3"/>
    <mergeCell ref="BJ3:BO3"/>
    <mergeCell ref="BP3:BU3"/>
    <mergeCell ref="BV2:CM2"/>
    <mergeCell ref="BV3:CA3"/>
    <mergeCell ref="CB3:CG3"/>
    <mergeCell ref="CH3:CM3"/>
  </mergeCells>
  <conditionalFormatting sqref="B25:CM2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6:CM2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7DEF-9043-4E5B-A6F1-58A2C7227642}">
  <dimension ref="A1:J92"/>
  <sheetViews>
    <sheetView zoomScale="85" zoomScaleNormal="85" workbookViewId="0">
      <selection activeCell="H14" sqref="H14"/>
    </sheetView>
  </sheetViews>
  <sheetFormatPr defaultRowHeight="12.75"/>
  <cols>
    <col min="1" max="1" width="43" bestFit="1" customWidth="1"/>
    <col min="2" max="2" width="36.140625" bestFit="1" customWidth="1"/>
    <col min="3" max="3" width="21.140625" bestFit="1" customWidth="1"/>
    <col min="4" max="4" width="31.5703125" bestFit="1" customWidth="1"/>
    <col min="5" max="5" width="34.42578125" customWidth="1"/>
    <col min="6" max="6" width="47.140625" bestFit="1" customWidth="1"/>
    <col min="7" max="7" width="50.42578125" bestFit="1" customWidth="1"/>
    <col min="8" max="8" width="49.42578125" bestFit="1" customWidth="1"/>
    <col min="9" max="9" width="52.7109375" bestFit="1" customWidth="1"/>
    <col min="10" max="10" width="30.7109375" bestFit="1" customWidth="1"/>
  </cols>
  <sheetData>
    <row r="1" spans="1:10" ht="16.5" thickTop="1" thickBot="1">
      <c r="A1" s="9" t="s">
        <v>34</v>
      </c>
      <c r="B1" s="9" t="s">
        <v>35</v>
      </c>
      <c r="C1" s="9" t="s">
        <v>36</v>
      </c>
      <c r="D1" s="9" t="s">
        <v>42</v>
      </c>
      <c r="E1" s="9" t="s">
        <v>43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</row>
    <row r="2" spans="1:10" ht="16.5" thickTop="1" thickBot="1">
      <c r="A2" s="34" t="s">
        <v>1</v>
      </c>
      <c r="B2" s="34" t="s">
        <v>5</v>
      </c>
      <c r="C2" s="9" t="s">
        <v>11</v>
      </c>
      <c r="D2">
        <v>3.6166666696468966E-2</v>
      </c>
      <c r="E2">
        <v>3.6666666467984499E-2</v>
      </c>
      <c r="F2">
        <v>1.0526315809080464E-2</v>
      </c>
      <c r="G2">
        <v>9.9999999627470894E-3</v>
      </c>
      <c r="H2">
        <v>4.0000000037252861E-2</v>
      </c>
      <c r="I2">
        <v>0</v>
      </c>
      <c r="J2">
        <v>256765</v>
      </c>
    </row>
    <row r="3" spans="1:10" ht="16.5" thickTop="1" thickBot="1">
      <c r="A3" s="34"/>
      <c r="B3" s="34"/>
      <c r="C3" s="9" t="s">
        <v>10</v>
      </c>
      <c r="D3">
        <v>2.3166666527589114E-2</v>
      </c>
      <c r="E3">
        <v>1.6666666666666601E-2</v>
      </c>
      <c r="F3">
        <v>7.8947368224984629E-3</v>
      </c>
      <c r="G3">
        <v>5.0000000745058001E-3</v>
      </c>
      <c r="H3">
        <v>3.9999999944120609E-2</v>
      </c>
      <c r="I3">
        <v>0</v>
      </c>
      <c r="J3">
        <v>194803</v>
      </c>
    </row>
    <row r="4" spans="1:10" ht="16.5" thickTop="1" thickBot="1">
      <c r="A4" s="34"/>
      <c r="B4" s="34"/>
      <c r="C4" s="9" t="s">
        <v>13</v>
      </c>
      <c r="D4">
        <v>2.1500000009934052E-2</v>
      </c>
      <c r="E4">
        <v>1.9999999801317801E-2</v>
      </c>
      <c r="F4">
        <v>7.6315789924640276E-3</v>
      </c>
      <c r="G4">
        <v>5.0000000745058001E-3</v>
      </c>
      <c r="H4">
        <v>3.0000000074505779E-2</v>
      </c>
      <c r="I4">
        <v>0</v>
      </c>
      <c r="J4">
        <v>148902</v>
      </c>
    </row>
    <row r="5" spans="1:10" ht="16.5" thickTop="1" thickBot="1">
      <c r="A5" s="34"/>
      <c r="B5" s="34"/>
      <c r="C5" s="9" t="s">
        <v>9</v>
      </c>
      <c r="D5">
        <v>2.0499999920527083E-2</v>
      </c>
      <c r="E5">
        <v>1.9999999801317801E-2</v>
      </c>
      <c r="F5">
        <v>9.9999999921572685E-3</v>
      </c>
      <c r="G5">
        <v>9.9999999627470894E-3</v>
      </c>
      <c r="H5">
        <v>2.0000000018626434E-2</v>
      </c>
      <c r="I5">
        <v>0</v>
      </c>
      <c r="J5">
        <v>225133</v>
      </c>
    </row>
    <row r="6" spans="1:10" ht="16.5" thickTop="1" thickBot="1">
      <c r="A6" s="34"/>
      <c r="B6" s="34"/>
      <c r="C6" s="9" t="s">
        <v>12</v>
      </c>
      <c r="D6">
        <v>2.4500000079472801E-2</v>
      </c>
      <c r="E6">
        <v>2.1666666865348749E-2</v>
      </c>
      <c r="F6">
        <v>1.0789473697935268E-2</v>
      </c>
      <c r="G6">
        <v>9.9999999627470894E-3</v>
      </c>
      <c r="H6">
        <v>3.9999999850988358E-2</v>
      </c>
      <c r="I6">
        <v>0</v>
      </c>
      <c r="J6">
        <v>194015</v>
      </c>
    </row>
    <row r="7" spans="1:10" ht="16.5" thickTop="1" thickBot="1">
      <c r="A7" s="34"/>
      <c r="B7" s="34"/>
      <c r="C7" s="9" t="s">
        <v>8</v>
      </c>
      <c r="D7">
        <v>1.8666666696468923E-2</v>
      </c>
      <c r="E7">
        <v>1.6666666666666601E-2</v>
      </c>
      <c r="F7">
        <v>8.6842105478832504E-3</v>
      </c>
      <c r="G7">
        <v>9.9999999627470894E-3</v>
      </c>
      <c r="H7">
        <v>5.0000000186264458E-2</v>
      </c>
      <c r="I7">
        <v>4.999999981373545E-2</v>
      </c>
      <c r="J7">
        <v>189773</v>
      </c>
    </row>
    <row r="8" spans="1:10" ht="16.5" thickTop="1" thickBot="1">
      <c r="A8" s="34"/>
      <c r="B8" s="35" t="s">
        <v>7</v>
      </c>
      <c r="C8" s="11" t="s">
        <v>11</v>
      </c>
      <c r="D8">
        <v>1.2486666663487702</v>
      </c>
      <c r="E8">
        <v>1.1366666664679801</v>
      </c>
      <c r="F8">
        <v>1.0284210527511768</v>
      </c>
      <c r="G8">
        <v>1.0450000004842801</v>
      </c>
      <c r="H8">
        <v>1.0550000000745043</v>
      </c>
      <c r="I8">
        <v>0.90000000037252903</v>
      </c>
      <c r="J8">
        <v>115964</v>
      </c>
    </row>
    <row r="9" spans="1:10" ht="16.5" thickTop="1" thickBot="1">
      <c r="A9" s="34"/>
      <c r="B9" s="35"/>
      <c r="C9" s="11" t="s">
        <v>10</v>
      </c>
      <c r="D9">
        <v>0.86349999994039484</v>
      </c>
      <c r="E9">
        <v>0.84333333323399207</v>
      </c>
      <c r="F9">
        <v>0.73921052637068774</v>
      </c>
      <c r="G9">
        <v>0.73500000014901101</v>
      </c>
      <c r="H9">
        <v>0.83500000052153978</v>
      </c>
      <c r="I9">
        <v>0.80000000074505795</v>
      </c>
      <c r="J9">
        <v>92999</v>
      </c>
    </row>
    <row r="10" spans="1:10" ht="16.5" thickTop="1" thickBot="1">
      <c r="A10" s="34"/>
      <c r="B10" s="35"/>
      <c r="C10" s="11" t="s">
        <v>13</v>
      </c>
      <c r="D10">
        <v>0.71799999987085572</v>
      </c>
      <c r="E10">
        <v>0.6633333330353095</v>
      </c>
      <c r="F10">
        <v>0.47131578942858821</v>
      </c>
      <c r="G10">
        <v>0.49499999992549398</v>
      </c>
      <c r="H10">
        <v>0.89500000020489046</v>
      </c>
      <c r="I10">
        <v>0.89999999944120601</v>
      </c>
      <c r="J10">
        <v>76729</v>
      </c>
    </row>
    <row r="11" spans="1:10" ht="16.5" thickTop="1" thickBot="1">
      <c r="A11" s="34"/>
      <c r="B11" s="35"/>
      <c r="C11" s="11" t="s">
        <v>9</v>
      </c>
      <c r="D11">
        <v>0.95683333332339815</v>
      </c>
      <c r="E11">
        <v>0.92666666656732499</v>
      </c>
      <c r="F11">
        <v>0.81368421050474726</v>
      </c>
      <c r="G11">
        <v>0.83000000044703404</v>
      </c>
      <c r="H11">
        <v>0.87000000011175815</v>
      </c>
      <c r="I11">
        <v>0.85000000055879354</v>
      </c>
      <c r="J11">
        <v>104363</v>
      </c>
    </row>
    <row r="12" spans="1:10" ht="16.5" thickTop="1" thickBot="1">
      <c r="A12" s="34"/>
      <c r="B12" s="35"/>
      <c r="C12" s="11" t="s">
        <v>12</v>
      </c>
      <c r="D12">
        <v>0.84550000006953785</v>
      </c>
      <c r="E12">
        <v>0.80666666626930195</v>
      </c>
      <c r="F12">
        <v>0.67921052638833412</v>
      </c>
      <c r="G12">
        <v>0.69500000048428701</v>
      </c>
      <c r="H12">
        <v>0.81500000022351726</v>
      </c>
      <c r="I12">
        <v>0.80000000074505795</v>
      </c>
      <c r="J12">
        <v>93290</v>
      </c>
    </row>
    <row r="13" spans="1:10" ht="16.5" thickTop="1" thickBot="1">
      <c r="A13" s="34"/>
      <c r="B13" s="35"/>
      <c r="C13" s="11" t="s">
        <v>8</v>
      </c>
      <c r="D13">
        <v>0.83266666665673195</v>
      </c>
      <c r="E13">
        <v>0.81333333353201498</v>
      </c>
      <c r="F13">
        <v>0.67105263166717755</v>
      </c>
      <c r="G13">
        <v>0.70499999988824102</v>
      </c>
      <c r="H13">
        <v>0.78500000033527595</v>
      </c>
      <c r="I13">
        <v>0.79999999981373504</v>
      </c>
      <c r="J13">
        <v>91686</v>
      </c>
    </row>
    <row r="14" spans="1:10" ht="16.5" thickTop="1" thickBot="1">
      <c r="A14" s="34"/>
      <c r="B14" s="34" t="s">
        <v>6</v>
      </c>
      <c r="C14" s="9" t="s">
        <v>11</v>
      </c>
      <c r="D14">
        <v>17.472666666855364</v>
      </c>
      <c r="E14">
        <v>17.309999999900597</v>
      </c>
      <c r="F14">
        <v>43.190263157930964</v>
      </c>
      <c r="G14">
        <v>43.379999999795103</v>
      </c>
      <c r="H14">
        <v>26.18499999903138</v>
      </c>
      <c r="I14">
        <v>25.449999999254899</v>
      </c>
      <c r="J14">
        <v>115964</v>
      </c>
    </row>
    <row r="15" spans="1:10" ht="16.5" thickTop="1" thickBot="1">
      <c r="A15" s="34"/>
      <c r="B15" s="34"/>
      <c r="C15" s="9" t="s">
        <v>10</v>
      </c>
      <c r="D15">
        <v>13.502333333343216</v>
      </c>
      <c r="E15">
        <v>13.316666666666601</v>
      </c>
      <c r="F15">
        <v>22.825526315802172</v>
      </c>
      <c r="G15">
        <v>22.675000000279301</v>
      </c>
      <c r="H15">
        <v>25.450000000186218</v>
      </c>
      <c r="I15">
        <v>25.300000000745001</v>
      </c>
      <c r="J15">
        <v>92999</v>
      </c>
    </row>
    <row r="16" spans="1:10" ht="16.5" thickTop="1" thickBot="1">
      <c r="A16" s="34"/>
      <c r="B16" s="34"/>
      <c r="C16" s="9" t="s">
        <v>13</v>
      </c>
      <c r="D16">
        <v>10.580833333382946</v>
      </c>
      <c r="E16">
        <v>10.478333333631301</v>
      </c>
      <c r="F16">
        <v>10.589210526326546</v>
      </c>
      <c r="G16">
        <v>10.4999999999068</v>
      </c>
      <c r="H16">
        <v>25.935000000335229</v>
      </c>
      <c r="I16">
        <v>25.800000000745001</v>
      </c>
      <c r="J16">
        <v>76729</v>
      </c>
    </row>
    <row r="17" spans="1:10" ht="16.5" thickTop="1" thickBot="1">
      <c r="A17" s="34"/>
      <c r="B17" s="34"/>
      <c r="C17" s="9" t="s">
        <v>9</v>
      </c>
      <c r="D17">
        <v>15.370333333263739</v>
      </c>
      <c r="E17">
        <v>15.288333332538549</v>
      </c>
      <c r="F17">
        <v>33.077894736845984</v>
      </c>
      <c r="G17">
        <v>32.880000000074503</v>
      </c>
      <c r="H17">
        <v>26.795000000111706</v>
      </c>
      <c r="I17">
        <v>26.799999998882349</v>
      </c>
      <c r="J17">
        <v>104363</v>
      </c>
    </row>
    <row r="18" spans="1:10" ht="16.5" thickTop="1" thickBot="1">
      <c r="A18" s="34"/>
      <c r="B18" s="34"/>
      <c r="C18" s="9" t="s">
        <v>12</v>
      </c>
      <c r="D18">
        <v>13.596333333253815</v>
      </c>
      <c r="E18">
        <v>13.394999999304551</v>
      </c>
      <c r="F18">
        <v>22.217105263113726</v>
      </c>
      <c r="G18">
        <v>22.089999999664698</v>
      </c>
      <c r="H18">
        <v>25.549999999813707</v>
      </c>
      <c r="I18">
        <v>25.5</v>
      </c>
      <c r="J18">
        <v>93290</v>
      </c>
    </row>
    <row r="19" spans="1:10" ht="16.5" thickTop="1" thickBot="1">
      <c r="A19" s="34"/>
      <c r="B19" s="34"/>
      <c r="C19" s="9" t="s">
        <v>8</v>
      </c>
      <c r="D19">
        <v>13.668666666646752</v>
      </c>
      <c r="E19">
        <v>13.299999999999951</v>
      </c>
      <c r="F19">
        <v>22.031842105281736</v>
      </c>
      <c r="G19">
        <v>21.995000000018599</v>
      </c>
      <c r="H19">
        <v>25.755000000260747</v>
      </c>
      <c r="I19">
        <v>25.600000001490098</v>
      </c>
      <c r="J19">
        <v>91686</v>
      </c>
    </row>
    <row r="20" spans="1:10" ht="15.75" thickTop="1">
      <c r="A20" s="35" t="s">
        <v>2</v>
      </c>
      <c r="B20" s="35" t="s">
        <v>5</v>
      </c>
      <c r="C20" s="11" t="s">
        <v>11</v>
      </c>
      <c r="D20">
        <v>0.82049999987085598</v>
      </c>
      <c r="E20">
        <v>0.77666666607061996</v>
      </c>
      <c r="F20">
        <v>0.1505263159149568</v>
      </c>
      <c r="G20">
        <v>0.13000000026076999</v>
      </c>
      <c r="H20">
        <v>0.19500000029802306</v>
      </c>
      <c r="I20">
        <v>0.199999999254941</v>
      </c>
      <c r="J20">
        <v>24561</v>
      </c>
    </row>
    <row r="21" spans="1:10" ht="15">
      <c r="A21" s="35"/>
      <c r="B21" s="35"/>
      <c r="C21" s="11" t="s">
        <v>10</v>
      </c>
      <c r="D21">
        <v>0.66666666676600728</v>
      </c>
      <c r="E21">
        <v>0.64333333373069701</v>
      </c>
      <c r="F21">
        <v>0.16447368431836321</v>
      </c>
      <c r="G21">
        <v>0.15500000026076999</v>
      </c>
      <c r="H21">
        <v>0.18000000007450556</v>
      </c>
      <c r="I21">
        <v>0.199999999254941</v>
      </c>
      <c r="J21">
        <v>25811</v>
      </c>
    </row>
    <row r="22" spans="1:10" ht="15">
      <c r="A22" s="35"/>
      <c r="B22" s="35"/>
      <c r="C22" s="11" t="s">
        <v>13</v>
      </c>
      <c r="D22">
        <v>0.55733333324392587</v>
      </c>
      <c r="E22">
        <v>0.52833333313465092</v>
      </c>
      <c r="F22">
        <v>0.59999999995098263</v>
      </c>
      <c r="G22">
        <v>0.56000000052153998</v>
      </c>
      <c r="H22">
        <v>0.20499999988824072</v>
      </c>
      <c r="I22">
        <v>0.199999999254941</v>
      </c>
      <c r="J22">
        <v>182444</v>
      </c>
    </row>
    <row r="23" spans="1:10" ht="15">
      <c r="A23" s="35"/>
      <c r="B23" s="35"/>
      <c r="C23" s="11" t="s">
        <v>9</v>
      </c>
      <c r="D23">
        <v>0.71066666682561208</v>
      </c>
      <c r="E23">
        <v>0.66666666666666607</v>
      </c>
      <c r="F23">
        <v>0.19263157885717663</v>
      </c>
      <c r="G23">
        <v>0.19000000040978099</v>
      </c>
      <c r="H23">
        <v>0.20499999960884407</v>
      </c>
      <c r="I23">
        <v>0.199999999254941</v>
      </c>
      <c r="J23">
        <v>23618</v>
      </c>
    </row>
    <row r="24" spans="1:10" ht="15">
      <c r="A24" s="35"/>
      <c r="B24" s="35"/>
      <c r="C24" s="11" t="s">
        <v>12</v>
      </c>
      <c r="D24">
        <v>0.60949999973177904</v>
      </c>
      <c r="E24">
        <v>0.57166666587193804</v>
      </c>
      <c r="F24">
        <v>0.63421052647264342</v>
      </c>
      <c r="G24">
        <v>0.61499999985098797</v>
      </c>
      <c r="H24">
        <v>0.15000000018626425</v>
      </c>
      <c r="I24">
        <v>0.10000000149011599</v>
      </c>
      <c r="J24">
        <v>170323</v>
      </c>
    </row>
    <row r="25" spans="1:10" ht="15.75" thickBot="1">
      <c r="A25" s="35"/>
      <c r="B25" s="35"/>
      <c r="C25" s="11" t="s">
        <v>8</v>
      </c>
      <c r="D25">
        <v>0.61533333341280572</v>
      </c>
      <c r="E25">
        <v>0.59833333343267392</v>
      </c>
      <c r="F25">
        <v>0.41631578945211628</v>
      </c>
      <c r="G25">
        <v>0.410000000149011</v>
      </c>
      <c r="H25">
        <v>0.16500000003725263</v>
      </c>
      <c r="I25">
        <v>0.199999999254941</v>
      </c>
      <c r="J25">
        <v>105493</v>
      </c>
    </row>
    <row r="26" spans="1:10" ht="16.5" thickTop="1" thickBot="1">
      <c r="A26" s="35"/>
      <c r="B26" s="34" t="s">
        <v>7</v>
      </c>
      <c r="C26" s="9" t="s">
        <v>11</v>
      </c>
      <c r="D26">
        <v>2.3841666665176495</v>
      </c>
      <c r="E26">
        <v>2.1733333324392552</v>
      </c>
      <c r="F26">
        <v>2.8552631578947318</v>
      </c>
      <c r="G26">
        <v>2.8550000002607701</v>
      </c>
      <c r="H26">
        <v>1.2650000000372503</v>
      </c>
      <c r="I26">
        <v>1.0999999996274701</v>
      </c>
      <c r="J26">
        <v>15526</v>
      </c>
    </row>
    <row r="27" spans="1:10" ht="16.5" thickTop="1" thickBot="1">
      <c r="A27" s="35"/>
      <c r="B27" s="34"/>
      <c r="C27" s="9" t="s">
        <v>10</v>
      </c>
      <c r="D27">
        <v>1.756000000039732</v>
      </c>
      <c r="E27">
        <v>1.73500000039736</v>
      </c>
      <c r="F27">
        <v>2.5231578948270283</v>
      </c>
      <c r="G27">
        <v>2.4000000003725201</v>
      </c>
      <c r="H27">
        <v>1.0999999999999976</v>
      </c>
      <c r="I27">
        <v>1.0999999996274701</v>
      </c>
      <c r="J27">
        <v>17590</v>
      </c>
    </row>
    <row r="28" spans="1:10" ht="16.5" thickTop="1" thickBot="1">
      <c r="A28" s="35"/>
      <c r="B28" s="34"/>
      <c r="C28" s="9" t="s">
        <v>13</v>
      </c>
      <c r="D28">
        <v>2.037999999970193</v>
      </c>
      <c r="E28">
        <v>1.9983333334326701</v>
      </c>
      <c r="F28">
        <v>9.4697368420464318</v>
      </c>
      <c r="G28">
        <v>9.3249999998137305</v>
      </c>
      <c r="H28">
        <v>1.1749999999068663</v>
      </c>
      <c r="I28">
        <v>1.0999999996274701</v>
      </c>
      <c r="J28">
        <v>62348</v>
      </c>
    </row>
    <row r="29" spans="1:10" ht="16.5" thickTop="1" thickBot="1">
      <c r="A29" s="35"/>
      <c r="B29" s="34"/>
      <c r="C29" s="9" t="s">
        <v>9</v>
      </c>
      <c r="D29">
        <v>2.0065333332618027</v>
      </c>
      <c r="E29">
        <v>1.9300000001986799</v>
      </c>
      <c r="F29">
        <v>2.7607894735606826</v>
      </c>
      <c r="G29">
        <v>2.8249999998137301</v>
      </c>
      <c r="H29">
        <v>1.3450000001117548</v>
      </c>
      <c r="I29">
        <v>1.2999999998137302</v>
      </c>
      <c r="J29">
        <v>15487</v>
      </c>
    </row>
    <row r="30" spans="1:10" ht="16.5" thickTop="1" thickBot="1">
      <c r="A30" s="35"/>
      <c r="B30" s="34"/>
      <c r="C30" s="9" t="s">
        <v>12</v>
      </c>
      <c r="D30">
        <v>2.3875000000993367</v>
      </c>
      <c r="E30">
        <v>2.3933333327372797</v>
      </c>
      <c r="F30">
        <v>9.0394736842203258</v>
      </c>
      <c r="G30">
        <v>8.9600000001490105</v>
      </c>
      <c r="H30">
        <v>1.1049999998882403</v>
      </c>
      <c r="I30">
        <v>1.0999999996274701</v>
      </c>
      <c r="J30">
        <v>56353</v>
      </c>
    </row>
    <row r="31" spans="1:10" ht="16.5" thickTop="1" thickBot="1">
      <c r="A31" s="35"/>
      <c r="B31" s="34"/>
      <c r="C31" s="9" t="s">
        <v>8</v>
      </c>
      <c r="D31">
        <v>2.0603833334147881</v>
      </c>
      <c r="E31">
        <v>2.0416666671633648</v>
      </c>
      <c r="F31">
        <v>6.1273684209408685</v>
      </c>
      <c r="G31">
        <v>6.0400000000372502</v>
      </c>
      <c r="H31">
        <v>1.2199999998323601</v>
      </c>
      <c r="I31">
        <v>1.0999999996274701</v>
      </c>
      <c r="J31">
        <v>40534</v>
      </c>
    </row>
    <row r="32" spans="1:10" ht="15.75" thickTop="1">
      <c r="A32" s="35"/>
      <c r="B32" s="35" t="s">
        <v>6</v>
      </c>
      <c r="C32" s="11" t="s">
        <v>11</v>
      </c>
      <c r="D32">
        <v>56.35100000003969</v>
      </c>
      <c r="E32">
        <v>55.983333332836601</v>
      </c>
      <c r="F32">
        <v>61.975263158011352</v>
      </c>
      <c r="G32">
        <v>62.109999999962703</v>
      </c>
      <c r="H32">
        <v>39.649999999813687</v>
      </c>
      <c r="I32">
        <v>39.5</v>
      </c>
      <c r="J32">
        <v>15526</v>
      </c>
    </row>
    <row r="33" spans="1:10" ht="15">
      <c r="A33" s="35"/>
      <c r="B33" s="35"/>
      <c r="C33" s="11" t="s">
        <v>10</v>
      </c>
      <c r="D33">
        <v>36.374181920994964</v>
      </c>
      <c r="E33">
        <v>35.445561915859642</v>
      </c>
      <c r="F33">
        <v>47.827389519874771</v>
      </c>
      <c r="G33">
        <v>52.228714683814943</v>
      </c>
      <c r="H33">
        <v>38.43460879653248</v>
      </c>
      <c r="I33">
        <v>38.63912745596226</v>
      </c>
      <c r="J33">
        <v>17590</v>
      </c>
    </row>
    <row r="34" spans="1:10" ht="15">
      <c r="A34" s="35"/>
      <c r="B34" s="35"/>
      <c r="C34" s="11" t="s">
        <v>13</v>
      </c>
      <c r="D34">
        <v>41.209833333407801</v>
      </c>
      <c r="E34">
        <v>40.516666666169897</v>
      </c>
      <c r="F34">
        <v>568.47868421045325</v>
      </c>
      <c r="G34">
        <v>564.76999999992495</v>
      </c>
      <c r="H34">
        <v>38.149999999813687</v>
      </c>
      <c r="I34">
        <v>38.150000000372501</v>
      </c>
      <c r="J34">
        <v>62348</v>
      </c>
    </row>
    <row r="35" spans="1:10" ht="15">
      <c r="A35" s="35"/>
      <c r="B35" s="35"/>
      <c r="C35" s="11" t="s">
        <v>9</v>
      </c>
      <c r="D35">
        <v>49.184000000059562</v>
      </c>
      <c r="E35">
        <v>48.895000000297998</v>
      </c>
      <c r="F35">
        <v>59.668421052626627</v>
      </c>
      <c r="G35">
        <v>59.124999999906798</v>
      </c>
      <c r="H35">
        <v>38.810000000148968</v>
      </c>
      <c r="I35">
        <v>38.8499999996274</v>
      </c>
      <c r="J35">
        <v>15487</v>
      </c>
    </row>
    <row r="36" spans="1:10" ht="15">
      <c r="A36" s="35"/>
      <c r="B36" s="35"/>
      <c r="C36" s="11" t="s">
        <v>12</v>
      </c>
      <c r="D36">
        <v>51.742166666537479</v>
      </c>
      <c r="E36">
        <v>51.449999999999946</v>
      </c>
      <c r="F36">
        <v>583.02973684211656</v>
      </c>
      <c r="G36">
        <v>579.79000000003703</v>
      </c>
      <c r="H36">
        <v>39.355000000260731</v>
      </c>
      <c r="I36">
        <v>39.399999998509799</v>
      </c>
      <c r="J36">
        <v>56353</v>
      </c>
    </row>
    <row r="37" spans="1:10" ht="15.75" thickBot="1">
      <c r="A37" s="35"/>
      <c r="B37" s="35"/>
      <c r="C37" s="11" t="s">
        <v>8</v>
      </c>
      <c r="D37">
        <v>45.384000000009891</v>
      </c>
      <c r="E37">
        <v>45.138333334028651</v>
      </c>
      <c r="F37">
        <v>318.73999999999279</v>
      </c>
      <c r="G37">
        <v>317.46500000003698</v>
      </c>
      <c r="H37">
        <v>39.174999999999976</v>
      </c>
      <c r="I37">
        <v>39.199999999254899</v>
      </c>
      <c r="J37">
        <v>40534</v>
      </c>
    </row>
    <row r="38" spans="1:10" ht="16.5" thickTop="1" thickBot="1">
      <c r="A38" s="34" t="s">
        <v>0</v>
      </c>
      <c r="B38" s="34" t="s">
        <v>5</v>
      </c>
      <c r="C38" s="9" t="s">
        <v>11</v>
      </c>
      <c r="D38">
        <v>0.89166666651765392</v>
      </c>
      <c r="E38">
        <v>0.85166666656732493</v>
      </c>
      <c r="F38">
        <v>0.17973684217584723</v>
      </c>
      <c r="G38">
        <v>0.160000000335276</v>
      </c>
      <c r="H38">
        <v>0.49500000020489088</v>
      </c>
      <c r="I38">
        <v>0.5</v>
      </c>
      <c r="J38">
        <v>14257</v>
      </c>
    </row>
    <row r="39" spans="1:10" ht="16.5" thickTop="1" thickBot="1">
      <c r="A39" s="34"/>
      <c r="B39" s="34"/>
      <c r="C39" s="9" t="s">
        <v>10</v>
      </c>
      <c r="D39">
        <v>0.73033333331346484</v>
      </c>
      <c r="E39">
        <v>0.69999999950329395</v>
      </c>
      <c r="F39">
        <v>0.11999999996470745</v>
      </c>
      <c r="G39">
        <v>0.110000000149011</v>
      </c>
      <c r="H39">
        <v>0.55499999998137339</v>
      </c>
      <c r="I39">
        <v>0.54999999981373549</v>
      </c>
      <c r="J39">
        <v>19460</v>
      </c>
    </row>
    <row r="40" spans="1:10" ht="16.5" thickTop="1" thickBot="1">
      <c r="A40" s="34"/>
      <c r="B40" s="34"/>
      <c r="C40" s="9" t="s">
        <v>13</v>
      </c>
      <c r="D40">
        <v>0.69916666671633665</v>
      </c>
      <c r="E40">
        <v>0.60333333313465054</v>
      </c>
      <c r="F40">
        <v>7.499999999019652E-2</v>
      </c>
      <c r="G40">
        <v>7.5000000186264501E-2</v>
      </c>
      <c r="H40">
        <v>1.1749999998137326</v>
      </c>
      <c r="I40">
        <v>1.1999999992549399</v>
      </c>
      <c r="J40">
        <v>178863</v>
      </c>
    </row>
    <row r="41" spans="1:10" ht="16.5" thickTop="1" thickBot="1">
      <c r="A41" s="34"/>
      <c r="B41" s="34"/>
      <c r="C41" s="9" t="s">
        <v>9</v>
      </c>
      <c r="D41">
        <v>0.89849999984105255</v>
      </c>
      <c r="E41">
        <v>0.911666666467984</v>
      </c>
      <c r="F41">
        <v>0.1497368420817346</v>
      </c>
      <c r="G41">
        <v>0.15999999959021799</v>
      </c>
      <c r="H41">
        <v>0.49000000013038497</v>
      </c>
      <c r="I41">
        <v>0.5</v>
      </c>
      <c r="J41">
        <v>15287</v>
      </c>
    </row>
    <row r="42" spans="1:10" ht="16.5" thickTop="1" thickBot="1">
      <c r="A42" s="34"/>
      <c r="B42" s="34"/>
      <c r="C42" s="9" t="s">
        <v>12</v>
      </c>
      <c r="D42">
        <v>0.79450000002980181</v>
      </c>
      <c r="E42">
        <v>0.75166666607061994</v>
      </c>
      <c r="F42">
        <v>0.1207894735038277</v>
      </c>
      <c r="G42">
        <v>0.105000000074505</v>
      </c>
      <c r="H42">
        <v>1.3799999999813699</v>
      </c>
      <c r="I42">
        <v>1.3000000007450501</v>
      </c>
      <c r="J42">
        <v>163842</v>
      </c>
    </row>
    <row r="43" spans="1:10" ht="16.5" thickTop="1" thickBot="1">
      <c r="A43" s="34"/>
      <c r="B43" s="34"/>
      <c r="C43" s="9" t="s">
        <v>8</v>
      </c>
      <c r="D43">
        <v>0.72866666669646829</v>
      </c>
      <c r="E43">
        <v>0.65666666676600749</v>
      </c>
      <c r="F43">
        <v>0.11342105263550011</v>
      </c>
      <c r="G43">
        <v>0.10999999996274699</v>
      </c>
      <c r="H43">
        <v>1.0349999999627451</v>
      </c>
      <c r="I43">
        <v>1</v>
      </c>
      <c r="J43">
        <v>99142</v>
      </c>
    </row>
    <row r="44" spans="1:10" ht="16.5" thickTop="1" thickBot="1">
      <c r="A44" s="34"/>
      <c r="B44" s="35" t="s">
        <v>7</v>
      </c>
      <c r="C44" s="11" t="s">
        <v>11</v>
      </c>
      <c r="D44">
        <v>2.4350000000993366</v>
      </c>
      <c r="E44">
        <v>2.1800000001986799</v>
      </c>
      <c r="F44">
        <v>2.7707894735822487</v>
      </c>
      <c r="G44">
        <v>2.8099999999627401</v>
      </c>
      <c r="H44">
        <v>2.0799999997951053</v>
      </c>
      <c r="I44">
        <v>1.8999999994412</v>
      </c>
      <c r="J44">
        <v>8733</v>
      </c>
    </row>
    <row r="45" spans="1:10" ht="16.5" thickTop="1" thickBot="1">
      <c r="A45" s="34"/>
      <c r="B45" s="35"/>
      <c r="C45" s="11" t="s">
        <v>10</v>
      </c>
      <c r="D45">
        <v>1.787500000298019</v>
      </c>
      <c r="E45">
        <v>1.774999999999995</v>
      </c>
      <c r="F45">
        <v>1.8457894737391063</v>
      </c>
      <c r="G45">
        <v>1.8700000002980199</v>
      </c>
      <c r="H45">
        <v>2.8400000001303818</v>
      </c>
      <c r="I45">
        <v>2.4000000003725201</v>
      </c>
      <c r="J45">
        <v>14546</v>
      </c>
    </row>
    <row r="46" spans="1:10" ht="16.5" thickTop="1" thickBot="1">
      <c r="A46" s="34"/>
      <c r="B46" s="35"/>
      <c r="C46" s="11" t="s">
        <v>13</v>
      </c>
      <c r="D46">
        <v>2.0686666664977822</v>
      </c>
      <c r="E46">
        <v>2.0599999999006551</v>
      </c>
      <c r="F46">
        <v>1.0900000000372498</v>
      </c>
      <c r="G46">
        <v>1.0999999996274701</v>
      </c>
      <c r="H46">
        <v>10.965000000037236</v>
      </c>
      <c r="I46">
        <v>9.7499999999999947</v>
      </c>
      <c r="J46">
        <v>61193</v>
      </c>
    </row>
    <row r="47" spans="1:10" ht="16.5" thickTop="1" thickBot="1">
      <c r="A47" s="34"/>
      <c r="B47" s="35"/>
      <c r="C47" s="11" t="s">
        <v>9</v>
      </c>
      <c r="D47">
        <v>2.1123333334426024</v>
      </c>
      <c r="E47">
        <v>2.08833333353201</v>
      </c>
      <c r="F47">
        <v>2.1194736841379767</v>
      </c>
      <c r="G47">
        <v>2.1649999998509801</v>
      </c>
      <c r="H47">
        <v>2.3400000001303818</v>
      </c>
      <c r="I47">
        <v>2.250000000931315</v>
      </c>
      <c r="J47">
        <v>10565</v>
      </c>
    </row>
    <row r="48" spans="1:10" ht="16.5" thickTop="1" thickBot="1">
      <c r="A48" s="34"/>
      <c r="B48" s="35"/>
      <c r="C48" s="11" t="s">
        <v>12</v>
      </c>
      <c r="D48">
        <v>2.4060000000894037</v>
      </c>
      <c r="E48">
        <v>2.3483333334326701</v>
      </c>
      <c r="F48">
        <v>1.6797368419895793</v>
      </c>
      <c r="G48">
        <v>1.75500000026077</v>
      </c>
      <c r="H48">
        <v>9.3799999997950998</v>
      </c>
      <c r="I48">
        <v>9.0999999996274692</v>
      </c>
      <c r="J48">
        <v>52899</v>
      </c>
    </row>
    <row r="49" spans="1:10" ht="16.5" thickTop="1" thickBot="1">
      <c r="A49" s="34"/>
      <c r="B49" s="35"/>
      <c r="C49" s="11" t="s">
        <v>8</v>
      </c>
      <c r="D49">
        <v>2.3382368418199571</v>
      </c>
      <c r="E49">
        <v>2.2199999998013151</v>
      </c>
      <c r="F49">
        <v>1.7336842104792543</v>
      </c>
      <c r="G49">
        <v>1.7699999995529601</v>
      </c>
      <c r="H49">
        <v>5.9650000001303818</v>
      </c>
      <c r="I49">
        <v>5.4999999999999947</v>
      </c>
      <c r="J49">
        <v>37296</v>
      </c>
    </row>
    <row r="50" spans="1:10" ht="16.5" thickTop="1" thickBot="1">
      <c r="A50" s="34"/>
      <c r="B50" s="34" t="s">
        <v>6</v>
      </c>
      <c r="C50" s="9" t="s">
        <v>11</v>
      </c>
      <c r="D50">
        <v>57.467500000148974</v>
      </c>
      <c r="E50">
        <v>57.221666666865303</v>
      </c>
      <c r="F50">
        <v>63.339736842035599</v>
      </c>
      <c r="G50">
        <v>63.309999999869603</v>
      </c>
      <c r="H50">
        <v>79.669999999366681</v>
      </c>
      <c r="I50">
        <v>79.049999998882399</v>
      </c>
      <c r="J50">
        <v>8733</v>
      </c>
    </row>
    <row r="51" spans="1:10" ht="16.5" thickTop="1" thickBot="1">
      <c r="A51" s="34"/>
      <c r="B51" s="34"/>
      <c r="C51" s="9" t="s">
        <v>10</v>
      </c>
      <c r="D51">
        <v>41.166666666716296</v>
      </c>
      <c r="E51">
        <v>40.976666667063952</v>
      </c>
      <c r="F51">
        <v>35.651578947357592</v>
      </c>
      <c r="G51">
        <v>35.594999999459802</v>
      </c>
      <c r="H51">
        <v>74.104999999515684</v>
      </c>
      <c r="I51">
        <v>74.049999998882399</v>
      </c>
      <c r="J51">
        <v>14546</v>
      </c>
    </row>
    <row r="52" spans="1:10" ht="16.5" thickTop="1" thickBot="1">
      <c r="A52" s="34"/>
      <c r="B52" s="34"/>
      <c r="C52" s="9" t="s">
        <v>13</v>
      </c>
      <c r="D52">
        <v>41.67099999999003</v>
      </c>
      <c r="E52">
        <v>41.8949999998013</v>
      </c>
      <c r="F52">
        <v>17.480526315778633</v>
      </c>
      <c r="G52">
        <v>17.5499999998137</v>
      </c>
      <c r="H52">
        <v>649.53000000026043</v>
      </c>
      <c r="I52">
        <v>648.80000000260748</v>
      </c>
      <c r="J52">
        <v>61193</v>
      </c>
    </row>
    <row r="53" spans="1:10" ht="16.5" thickTop="1" thickBot="1">
      <c r="A53" s="34"/>
      <c r="B53" s="34"/>
      <c r="C53" s="9" t="s">
        <v>9</v>
      </c>
      <c r="D53">
        <v>47.47433333352204</v>
      </c>
      <c r="E53">
        <v>47.385000000397298</v>
      </c>
      <c r="F53">
        <v>47.512105263147077</v>
      </c>
      <c r="G53">
        <v>47.260000000055797</v>
      </c>
      <c r="H53">
        <v>69.225000000372489</v>
      </c>
      <c r="I53">
        <v>69.950000001117559</v>
      </c>
      <c r="J53">
        <v>10565</v>
      </c>
    </row>
    <row r="54" spans="1:10" ht="16.5" thickTop="1" thickBot="1">
      <c r="A54" s="34"/>
      <c r="B54" s="34"/>
      <c r="C54" s="9" t="s">
        <v>12</v>
      </c>
      <c r="D54">
        <v>48.826500000009894</v>
      </c>
      <c r="E54">
        <v>48.619999999801301</v>
      </c>
      <c r="F54">
        <v>34.055526315866857</v>
      </c>
      <c r="G54">
        <v>34.165000000130298</v>
      </c>
      <c r="H54">
        <v>656.67999999988785</v>
      </c>
      <c r="I54">
        <v>653.99999999999955</v>
      </c>
      <c r="J54">
        <v>52899</v>
      </c>
    </row>
    <row r="55" spans="1:10" ht="16.5" thickTop="1" thickBot="1">
      <c r="A55" s="34"/>
      <c r="B55" s="34"/>
      <c r="C55" s="9" t="s">
        <v>8</v>
      </c>
      <c r="D55">
        <v>43.874499999980081</v>
      </c>
      <c r="E55">
        <v>43.810000000397352</v>
      </c>
      <c r="F55">
        <v>34.462105263151955</v>
      </c>
      <c r="G55">
        <v>34.365000000130301</v>
      </c>
      <c r="H55">
        <v>361.82999999988795</v>
      </c>
      <c r="I55">
        <v>368.84999999962702</v>
      </c>
      <c r="J55">
        <v>37296</v>
      </c>
    </row>
    <row r="56" spans="1:10" ht="15.75" thickTop="1">
      <c r="A56" s="35" t="s">
        <v>4</v>
      </c>
      <c r="B56" s="35" t="s">
        <v>5</v>
      </c>
      <c r="C56" s="11" t="s">
        <v>11</v>
      </c>
      <c r="D56">
        <v>925.61149999986026</v>
      </c>
      <c r="E56">
        <v>788.57833333363101</v>
      </c>
      <c r="F56">
        <v>6.2178947368318065</v>
      </c>
      <c r="G56">
        <v>6.2100000000093099</v>
      </c>
      <c r="H56">
        <v>0.43499999959021746</v>
      </c>
      <c r="I56">
        <v>0.39999999850988299</v>
      </c>
      <c r="J56">
        <v>24731</v>
      </c>
    </row>
    <row r="57" spans="1:10" ht="15">
      <c r="A57" s="35"/>
      <c r="B57" s="35"/>
      <c r="C57" s="11" t="s">
        <v>10</v>
      </c>
      <c r="D57">
        <v>672.59633333330282</v>
      </c>
      <c r="E57">
        <v>442.088333333035</v>
      </c>
      <c r="F57">
        <v>4.7849999999333308</v>
      </c>
      <c r="G57">
        <v>4.7950000000186197</v>
      </c>
      <c r="H57">
        <v>0.25500000044703441</v>
      </c>
      <c r="I57">
        <v>0.20000000298023199</v>
      </c>
      <c r="J57">
        <v>23208</v>
      </c>
    </row>
    <row r="58" spans="1:10" ht="15">
      <c r="A58" s="35"/>
      <c r="B58" s="35"/>
      <c r="C58" s="11" t="s">
        <v>13</v>
      </c>
      <c r="D58">
        <v>832.36166666631584</v>
      </c>
      <c r="E58">
        <v>1159.268333332735</v>
      </c>
      <c r="F58">
        <v>3.7681578948015386</v>
      </c>
      <c r="G58">
        <v>3.7100000000558699</v>
      </c>
      <c r="H58">
        <v>0.2650000004097815</v>
      </c>
      <c r="I58">
        <v>0.20000000298023199</v>
      </c>
      <c r="J58">
        <v>19089</v>
      </c>
    </row>
    <row r="59" spans="1:10" ht="15">
      <c r="A59" s="35"/>
      <c r="B59" s="35"/>
      <c r="C59" s="11" t="s">
        <v>9</v>
      </c>
      <c r="D59">
        <v>737.16966666693429</v>
      </c>
      <c r="E59">
        <v>603.6166666676595</v>
      </c>
      <c r="F59">
        <v>5.4902631578427741</v>
      </c>
      <c r="G59">
        <v>5.4899999997578499</v>
      </c>
      <c r="H59">
        <v>0.34499999936670012</v>
      </c>
      <c r="I59">
        <v>0.300000000745058</v>
      </c>
      <c r="J59">
        <v>21776</v>
      </c>
    </row>
    <row r="60" spans="1:10" ht="15">
      <c r="A60" s="35"/>
      <c r="B60" s="35"/>
      <c r="C60" s="11" t="s">
        <v>12</v>
      </c>
      <c r="D60">
        <v>440.74016666670587</v>
      </c>
      <c r="E60">
        <v>440.97166666686496</v>
      </c>
      <c r="F60">
        <v>4.7560526316691369</v>
      </c>
      <c r="G60">
        <v>4.75500000026077</v>
      </c>
      <c r="H60">
        <v>0.26500000003725244</v>
      </c>
      <c r="I60">
        <v>0.20000000298023199</v>
      </c>
      <c r="J60">
        <v>22141</v>
      </c>
    </row>
    <row r="61" spans="1:10" ht="15.75" thickBot="1">
      <c r="A61" s="35"/>
      <c r="B61" s="35"/>
      <c r="C61" s="11" t="s">
        <v>8</v>
      </c>
      <c r="D61">
        <v>487.80383333340222</v>
      </c>
      <c r="E61">
        <v>414.25500000019798</v>
      </c>
      <c r="F61">
        <v>4.6899999999637227</v>
      </c>
      <c r="G61">
        <v>4.6849999999627396</v>
      </c>
      <c r="H61">
        <v>0.31500000003725265</v>
      </c>
      <c r="I61">
        <v>0.300000000745058</v>
      </c>
      <c r="J61">
        <v>24637</v>
      </c>
    </row>
    <row r="62" spans="1:10" ht="16.5" thickTop="1" thickBot="1">
      <c r="A62" s="35"/>
      <c r="B62" s="34" t="s">
        <v>7</v>
      </c>
      <c r="C62" s="9" t="s">
        <v>11</v>
      </c>
      <c r="D62">
        <v>1279.1258333332828</v>
      </c>
      <c r="E62">
        <v>802.11833333373056</v>
      </c>
      <c r="F62">
        <v>8.5397368421876063</v>
      </c>
      <c r="G62">
        <v>8.4550000004470292</v>
      </c>
      <c r="H62">
        <v>1.3100000000558754</v>
      </c>
      <c r="I62">
        <v>1.20000000111758</v>
      </c>
      <c r="J62">
        <v>15471</v>
      </c>
    </row>
    <row r="63" spans="1:10" ht="16.5" thickTop="1" thickBot="1">
      <c r="A63" s="35"/>
      <c r="B63" s="34"/>
      <c r="C63" s="9" t="s">
        <v>10</v>
      </c>
      <c r="D63">
        <v>2083.2244999999266</v>
      </c>
      <c r="E63">
        <v>2012.624999999995</v>
      </c>
      <c r="F63">
        <v>6.7531578946074333</v>
      </c>
      <c r="G63">
        <v>6.5749999996274697</v>
      </c>
      <c r="H63">
        <v>1.2349999996833478</v>
      </c>
      <c r="I63">
        <v>1.1999999992549399</v>
      </c>
      <c r="J63">
        <v>14494</v>
      </c>
    </row>
    <row r="64" spans="1:10" ht="16.5" thickTop="1" thickBot="1">
      <c r="A64" s="35"/>
      <c r="B64" s="34"/>
      <c r="C64" s="9" t="s">
        <v>13</v>
      </c>
      <c r="D64">
        <v>350.31749999989989</v>
      </c>
      <c r="E64">
        <v>239.59999999999951</v>
      </c>
      <c r="F64">
        <v>5.0397368419915383</v>
      </c>
      <c r="G64">
        <v>5.0200000002980198</v>
      </c>
      <c r="H64">
        <v>1.1750000001862606</v>
      </c>
      <c r="I64">
        <v>1.1999999992549399</v>
      </c>
      <c r="J64">
        <v>11450</v>
      </c>
    </row>
    <row r="65" spans="1:10" ht="16.5" thickTop="1" thickBot="1">
      <c r="A65" s="35"/>
      <c r="B65" s="34"/>
      <c r="C65" s="9" t="s">
        <v>9</v>
      </c>
      <c r="D65">
        <v>542.836166666547</v>
      </c>
      <c r="E65">
        <v>537.57333333243901</v>
      </c>
      <c r="F65">
        <v>7.3171052630990694</v>
      </c>
      <c r="G65">
        <v>7.2800000008195598</v>
      </c>
      <c r="H65">
        <v>1.1550000000745027</v>
      </c>
      <c r="I65">
        <v>1.1999999992549399</v>
      </c>
      <c r="J65">
        <v>13756</v>
      </c>
    </row>
    <row r="66" spans="1:10" ht="16.5" thickTop="1" thickBot="1">
      <c r="A66" s="35"/>
      <c r="B66" s="34"/>
      <c r="C66" s="9" t="s">
        <v>12</v>
      </c>
      <c r="D66">
        <v>396.37099999994001</v>
      </c>
      <c r="E66">
        <v>393.99666666636847</v>
      </c>
      <c r="F66">
        <v>6.3776315787709015</v>
      </c>
      <c r="G66">
        <v>6.3549999985843897</v>
      </c>
      <c r="H66">
        <v>1.2099999998696114</v>
      </c>
      <c r="I66">
        <v>1.1999999992549399</v>
      </c>
      <c r="J66">
        <v>13675</v>
      </c>
    </row>
    <row r="67" spans="1:10" ht="16.5" thickTop="1" thickBot="1">
      <c r="A67" s="35"/>
      <c r="B67" s="34"/>
      <c r="C67" s="9" t="s">
        <v>8</v>
      </c>
      <c r="D67">
        <v>742.22266666670498</v>
      </c>
      <c r="E67">
        <v>375.38333333333253</v>
      </c>
      <c r="F67">
        <v>6.44394736825243</v>
      </c>
      <c r="G67">
        <v>6.4199999991804297</v>
      </c>
      <c r="H67">
        <v>1.2399999998509843</v>
      </c>
      <c r="I67">
        <v>1.20000000111758</v>
      </c>
      <c r="J67">
        <v>15082</v>
      </c>
    </row>
    <row r="68" spans="1:10" ht="15.75" thickTop="1">
      <c r="A68" s="35"/>
      <c r="B68" s="35" t="s">
        <v>6</v>
      </c>
      <c r="C68" s="11" t="s">
        <v>11</v>
      </c>
      <c r="D68">
        <v>863.56033333326309</v>
      </c>
      <c r="E68">
        <v>843.41499999960206</v>
      </c>
      <c r="F68">
        <v>65.565263157828042</v>
      </c>
      <c r="G68">
        <v>65.45</v>
      </c>
      <c r="H68">
        <v>37.819999999925457</v>
      </c>
      <c r="I68">
        <v>38.899999998509799</v>
      </c>
      <c r="J68">
        <v>15471</v>
      </c>
    </row>
    <row r="69" spans="1:10" ht="15">
      <c r="A69" s="35"/>
      <c r="B69" s="35"/>
      <c r="C69" s="11" t="s">
        <v>10</v>
      </c>
      <c r="D69">
        <v>493.3394999997314</v>
      </c>
      <c r="E69">
        <v>495.25833333283651</v>
      </c>
      <c r="F69">
        <v>58.270526315663957</v>
      </c>
      <c r="G69">
        <v>58.155000000074502</v>
      </c>
      <c r="H69">
        <v>38.595000000111725</v>
      </c>
      <c r="I69">
        <v>38.5</v>
      </c>
      <c r="J69">
        <v>14494</v>
      </c>
    </row>
    <row r="70" spans="1:10" ht="15">
      <c r="A70" s="35"/>
      <c r="B70" s="35"/>
      <c r="C70" s="11" t="s">
        <v>13</v>
      </c>
      <c r="D70">
        <v>294.87466666658673</v>
      </c>
      <c r="E70">
        <v>291.791666666666</v>
      </c>
      <c r="F70">
        <v>51.462368421119265</v>
      </c>
      <c r="G70">
        <v>51.360000000893997</v>
      </c>
      <c r="H70">
        <v>38.624999999813696</v>
      </c>
      <c r="I70">
        <v>38.699999999254899</v>
      </c>
      <c r="J70">
        <v>11450</v>
      </c>
    </row>
    <row r="71" spans="1:10" ht="15">
      <c r="A71" s="35"/>
      <c r="B71" s="35"/>
      <c r="C71" s="11" t="s">
        <v>9</v>
      </c>
      <c r="D71">
        <v>646.04699999988043</v>
      </c>
      <c r="E71">
        <v>643.05166666606999</v>
      </c>
      <c r="F71">
        <v>63.353157894823056</v>
      </c>
      <c r="G71">
        <v>64.780000000447004</v>
      </c>
      <c r="H71">
        <v>39.685000000148989</v>
      </c>
      <c r="I71">
        <v>39.5</v>
      </c>
      <c r="J71">
        <v>13756</v>
      </c>
    </row>
    <row r="72" spans="1:10" ht="15">
      <c r="A72" s="35"/>
      <c r="B72" s="35"/>
      <c r="C72" s="11" t="s">
        <v>12</v>
      </c>
      <c r="D72">
        <v>560.17283333321359</v>
      </c>
      <c r="E72">
        <v>482.61833333323352</v>
      </c>
      <c r="F72">
        <v>66.075526315522765</v>
      </c>
      <c r="G72">
        <v>65.710000000148995</v>
      </c>
      <c r="H72">
        <v>40.134999999776447</v>
      </c>
      <c r="I72">
        <v>39.699999999254899</v>
      </c>
      <c r="J72">
        <v>13675</v>
      </c>
    </row>
    <row r="73" spans="1:10" ht="15.75" thickBot="1">
      <c r="A73" s="35"/>
      <c r="B73" s="35"/>
      <c r="C73" s="11" t="s">
        <v>8</v>
      </c>
      <c r="D73">
        <v>459.84216666658676</v>
      </c>
      <c r="E73">
        <v>461.593333333234</v>
      </c>
      <c r="F73">
        <v>69.986578947482101</v>
      </c>
      <c r="G73">
        <v>69.9449999999255</v>
      </c>
      <c r="H73">
        <v>39.464999999664684</v>
      </c>
      <c r="I73">
        <v>39.300000000745001</v>
      </c>
      <c r="J73">
        <v>15082</v>
      </c>
    </row>
    <row r="74" spans="1:10" ht="16.5" thickTop="1" thickBot="1">
      <c r="A74" s="34" t="s">
        <v>3</v>
      </c>
      <c r="B74" s="34" t="s">
        <v>5</v>
      </c>
      <c r="C74" s="9" t="s">
        <v>11</v>
      </c>
      <c r="D74">
        <v>825.89783333341222</v>
      </c>
      <c r="E74">
        <v>690.91166666696449</v>
      </c>
      <c r="F74">
        <v>0.49500000001617511</v>
      </c>
      <c r="G74">
        <v>0.49500000015832402</v>
      </c>
      <c r="H74">
        <v>6.9800000000745026</v>
      </c>
      <c r="I74">
        <v>6.7499999999999947</v>
      </c>
      <c r="J74">
        <v>22044</v>
      </c>
    </row>
    <row r="75" spans="1:10" ht="16.5" thickTop="1" thickBot="1">
      <c r="A75" s="34"/>
      <c r="B75" s="34"/>
      <c r="C75" s="9" t="s">
        <v>10</v>
      </c>
      <c r="D75">
        <v>394.49849999989021</v>
      </c>
      <c r="E75">
        <v>394.49833333343247</v>
      </c>
      <c r="F75">
        <v>0.33894736846957901</v>
      </c>
      <c r="G75">
        <v>0.340000000037252</v>
      </c>
      <c r="H75">
        <v>5.3599999995902134</v>
      </c>
      <c r="I75">
        <v>5.3000000007450501</v>
      </c>
      <c r="J75">
        <v>16081</v>
      </c>
    </row>
    <row r="76" spans="1:10" ht="16.5" thickTop="1" thickBot="1">
      <c r="A76" s="34"/>
      <c r="B76" s="34"/>
      <c r="C76" s="9" t="s">
        <v>13</v>
      </c>
      <c r="D76">
        <v>240.02033333336266</v>
      </c>
      <c r="E76">
        <v>239.6749999999995</v>
      </c>
      <c r="F76">
        <v>0.20315789472752846</v>
      </c>
      <c r="G76">
        <v>0.204999999934807</v>
      </c>
      <c r="H76">
        <v>4.5050000000745039</v>
      </c>
      <c r="I76">
        <v>4.3999999985098803</v>
      </c>
      <c r="J76">
        <v>11827</v>
      </c>
    </row>
    <row r="77" spans="1:10" ht="16.5" thickTop="1" thickBot="1">
      <c r="A77" s="34"/>
      <c r="B77" s="34"/>
      <c r="C77" s="9" t="s">
        <v>9</v>
      </c>
      <c r="D77">
        <v>1131.0901666667046</v>
      </c>
      <c r="E77">
        <v>539.97999999970148</v>
      </c>
      <c r="F77">
        <v>0.40894736841958157</v>
      </c>
      <c r="G77">
        <v>0.41500000003725201</v>
      </c>
      <c r="H77">
        <v>6.0199999999254938</v>
      </c>
      <c r="I77">
        <v>6</v>
      </c>
      <c r="J77">
        <v>16086</v>
      </c>
    </row>
    <row r="78" spans="1:10" ht="16.5" thickTop="1" thickBot="1">
      <c r="A78" s="34"/>
      <c r="B78" s="34"/>
      <c r="C78" s="9" t="s">
        <v>12</v>
      </c>
      <c r="D78">
        <v>390.63533333336278</v>
      </c>
      <c r="E78">
        <v>390.23500000039701</v>
      </c>
      <c r="F78">
        <v>0.33263157895325013</v>
      </c>
      <c r="G78">
        <v>0.33500000000931301</v>
      </c>
      <c r="H78">
        <v>5.4600000007077991</v>
      </c>
      <c r="I78">
        <v>5.3000000007450501</v>
      </c>
      <c r="J78">
        <v>15830</v>
      </c>
    </row>
    <row r="79" spans="1:10" ht="16.5" thickTop="1" thickBot="1">
      <c r="A79" s="34"/>
      <c r="B79" s="34"/>
      <c r="C79" s="9" t="s">
        <v>8</v>
      </c>
      <c r="D79">
        <v>373.82083333328325</v>
      </c>
      <c r="E79">
        <v>373.43333333333248</v>
      </c>
      <c r="F79">
        <v>0.32763157890325262</v>
      </c>
      <c r="G79">
        <v>0.32499999995343298</v>
      </c>
      <c r="H79">
        <v>5.2849999995902142</v>
      </c>
      <c r="I79">
        <v>5.1999999992549402</v>
      </c>
      <c r="J79">
        <v>17173</v>
      </c>
    </row>
    <row r="80" spans="1:10" ht="16.5" thickTop="1" thickBot="1">
      <c r="A80" s="34"/>
      <c r="B80" s="35" t="s">
        <v>7</v>
      </c>
      <c r="C80" s="11" t="s">
        <v>11</v>
      </c>
      <c r="D80">
        <v>701.11450000037701</v>
      </c>
      <c r="E80">
        <v>698.89000000059559</v>
      </c>
      <c r="F80">
        <v>2.0063157894705239</v>
      </c>
      <c r="G80">
        <v>1.99999999998835</v>
      </c>
      <c r="H80">
        <v>8.7150000000372501</v>
      </c>
      <c r="I80">
        <v>8.6500000003725255</v>
      </c>
      <c r="J80">
        <v>12375</v>
      </c>
    </row>
    <row r="81" spans="1:10" ht="16.5" thickTop="1" thickBot="1">
      <c r="A81" s="34"/>
      <c r="B81" s="35"/>
      <c r="C81" s="11" t="s">
        <v>10</v>
      </c>
      <c r="D81">
        <v>403.71416666684007</v>
      </c>
      <c r="E81">
        <v>403.23333333333301</v>
      </c>
      <c r="F81">
        <v>1.2826315789526324</v>
      </c>
      <c r="G81">
        <v>1.28499999999767</v>
      </c>
      <c r="H81">
        <v>6.8200000001117562</v>
      </c>
      <c r="I81">
        <v>6.7499999999999947</v>
      </c>
      <c r="J81">
        <v>11175</v>
      </c>
    </row>
    <row r="82" spans="1:10" ht="16.5" thickTop="1" thickBot="1">
      <c r="A82" s="34"/>
      <c r="B82" s="35"/>
      <c r="C82" s="11" t="s">
        <v>13</v>
      </c>
      <c r="D82">
        <v>247.49366666669616</v>
      </c>
      <c r="E82">
        <v>247.69166666666601</v>
      </c>
      <c r="F82">
        <v>0.81447368420746213</v>
      </c>
      <c r="G82">
        <v>0.80999999999767103</v>
      </c>
      <c r="H82">
        <v>6.6699999999254898</v>
      </c>
      <c r="I82">
        <v>6.0500000007450545</v>
      </c>
      <c r="J82">
        <v>10077</v>
      </c>
    </row>
    <row r="83" spans="1:10" ht="16.5" thickTop="1" thickBot="1">
      <c r="A83" s="34"/>
      <c r="B83" s="35"/>
      <c r="C83" s="11" t="s">
        <v>9</v>
      </c>
      <c r="D83">
        <v>1861.7310000001853</v>
      </c>
      <c r="E83">
        <v>2491.03166666676</v>
      </c>
      <c r="F83">
        <v>1.672894736867711</v>
      </c>
      <c r="G83">
        <v>1.6300000000745001</v>
      </c>
      <c r="H83">
        <v>8.0349999997764794</v>
      </c>
      <c r="I83">
        <v>8</v>
      </c>
      <c r="J83">
        <v>9992</v>
      </c>
    </row>
    <row r="84" spans="1:10" ht="16.5" thickTop="1" thickBot="1">
      <c r="A84" s="34"/>
      <c r="B84" s="35"/>
      <c r="C84" s="11" t="s">
        <v>12</v>
      </c>
      <c r="D84">
        <v>1483.2588333334998</v>
      </c>
      <c r="E84">
        <v>1846.84333333373</v>
      </c>
      <c r="F84">
        <v>1.2750000000122501</v>
      </c>
      <c r="G84">
        <v>1.2800000000745</v>
      </c>
      <c r="H84">
        <v>7.7799999998882399</v>
      </c>
      <c r="I84">
        <v>7.7000000011175853</v>
      </c>
      <c r="J84">
        <v>10882</v>
      </c>
    </row>
    <row r="85" spans="1:10" ht="16.5" thickTop="1" thickBot="1">
      <c r="A85" s="34"/>
      <c r="B85" s="35"/>
      <c r="C85" s="11" t="s">
        <v>8</v>
      </c>
      <c r="D85">
        <v>369.35433333342229</v>
      </c>
      <c r="E85">
        <v>369.1800000001985</v>
      </c>
      <c r="F85">
        <v>1.3297368420974163</v>
      </c>
      <c r="G85">
        <v>1.3300000000046499</v>
      </c>
      <c r="H85">
        <v>6.5650000000372515</v>
      </c>
      <c r="I85">
        <v>6.5</v>
      </c>
      <c r="J85">
        <v>11759</v>
      </c>
    </row>
    <row r="86" spans="1:10" ht="16.5" thickTop="1" thickBot="1">
      <c r="A86" s="34"/>
      <c r="B86" s="34" t="s">
        <v>6</v>
      </c>
      <c r="C86" s="9" t="s">
        <v>11</v>
      </c>
      <c r="D86">
        <v>835.07916666651704</v>
      </c>
      <c r="E86">
        <v>835.03833333303498</v>
      </c>
      <c r="F86">
        <v>0.52736842098988956</v>
      </c>
      <c r="G86">
        <v>0.52499999962747101</v>
      </c>
      <c r="H86">
        <v>82.734999999776448</v>
      </c>
      <c r="I86">
        <v>82.699999999254899</v>
      </c>
      <c r="J86">
        <v>12375</v>
      </c>
    </row>
    <row r="87" spans="1:10" ht="16.5" thickTop="1" thickBot="1">
      <c r="A87" s="34"/>
      <c r="B87" s="34"/>
      <c r="C87" s="9" t="s">
        <v>10</v>
      </c>
      <c r="D87">
        <v>484.25666666666621</v>
      </c>
      <c r="E87">
        <v>482.35666666676548</v>
      </c>
      <c r="F87">
        <v>0.3521052632480855</v>
      </c>
      <c r="G87">
        <v>0.355000000074505</v>
      </c>
      <c r="H87">
        <v>64.560000000521512</v>
      </c>
      <c r="I87">
        <v>61.300000000745001</v>
      </c>
      <c r="J87">
        <v>11175</v>
      </c>
    </row>
    <row r="88" spans="1:10" ht="16.5" thickTop="1" thickBot="1">
      <c r="A88" s="34"/>
      <c r="B88" s="34"/>
      <c r="C88" s="9" t="s">
        <v>13</v>
      </c>
      <c r="D88">
        <v>295.60600000043667</v>
      </c>
      <c r="E88">
        <v>292.06500000009896</v>
      </c>
      <c r="F88">
        <v>17.911578947286021</v>
      </c>
      <c r="G88">
        <v>17.775000000744999</v>
      </c>
      <c r="H88">
        <v>46.019999999925446</v>
      </c>
      <c r="I88">
        <v>45.950000001117552</v>
      </c>
      <c r="J88">
        <v>10077</v>
      </c>
    </row>
    <row r="89" spans="1:10" ht="16.5" thickTop="1" thickBot="1">
      <c r="A89" s="34"/>
      <c r="B89" s="34"/>
      <c r="C89" s="9" t="s">
        <v>9</v>
      </c>
      <c r="D89">
        <v>738.46418333341103</v>
      </c>
      <c r="E89">
        <v>630.72666666706345</v>
      </c>
      <c r="F89">
        <v>46.515526315981568</v>
      </c>
      <c r="G89">
        <v>45.985000000893997</v>
      </c>
      <c r="H89">
        <v>66.704999999701954</v>
      </c>
      <c r="I89">
        <v>64.699999999254899</v>
      </c>
      <c r="J89">
        <v>9992</v>
      </c>
    </row>
    <row r="90" spans="1:10" ht="16.5" thickTop="1" thickBot="1">
      <c r="A90" s="34"/>
      <c r="B90" s="34"/>
      <c r="C90" s="9" t="s">
        <v>12</v>
      </c>
      <c r="D90">
        <v>694.94433333347149</v>
      </c>
      <c r="E90">
        <v>472.36000000039701</v>
      </c>
      <c r="F90">
        <v>33.542368420919253</v>
      </c>
      <c r="G90">
        <v>33.380000000074503</v>
      </c>
      <c r="H90">
        <v>59.030000000260756</v>
      </c>
      <c r="I90">
        <v>58.049999998882399</v>
      </c>
      <c r="J90">
        <v>10882</v>
      </c>
    </row>
    <row r="91" spans="1:10" ht="16.5" thickTop="1" thickBot="1">
      <c r="A91" s="34"/>
      <c r="B91" s="34"/>
      <c r="C91" s="9" t="s">
        <v>8</v>
      </c>
      <c r="D91">
        <v>527.90005666685806</v>
      </c>
      <c r="E91">
        <v>454.10056666709949</v>
      </c>
      <c r="F91">
        <v>34.75710526302845</v>
      </c>
      <c r="G91">
        <v>34.784999999776403</v>
      </c>
      <c r="H91">
        <v>61.959999999590174</v>
      </c>
      <c r="I91">
        <v>61.800000000745001</v>
      </c>
      <c r="J91">
        <v>11759</v>
      </c>
    </row>
    <row r="92" spans="1:10" ht="13.5" thickTop="1"/>
  </sheetData>
  <mergeCells count="20">
    <mergeCell ref="B74:B79"/>
    <mergeCell ref="B80:B85"/>
    <mergeCell ref="B86:B91"/>
    <mergeCell ref="A74:A91"/>
    <mergeCell ref="A2:A19"/>
    <mergeCell ref="A20:A37"/>
    <mergeCell ref="A38:A55"/>
    <mergeCell ref="A56:A73"/>
    <mergeCell ref="B26:B31"/>
    <mergeCell ref="B32:B37"/>
    <mergeCell ref="B38:B43"/>
    <mergeCell ref="B44:B49"/>
    <mergeCell ref="B50:B55"/>
    <mergeCell ref="B62:B67"/>
    <mergeCell ref="B2:B7"/>
    <mergeCell ref="B8:B13"/>
    <mergeCell ref="B14:B19"/>
    <mergeCell ref="B20:B25"/>
    <mergeCell ref="B56:B61"/>
    <mergeCell ref="B68:B73"/>
  </mergeCells>
  <conditionalFormatting sqref="D2:D9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E9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9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9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9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I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9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7</vt:i4>
      </vt:variant>
      <vt:variant>
        <vt:lpstr>Nazwane zakresy</vt:lpstr>
      </vt:variant>
      <vt:variant>
        <vt:i4>3</vt:i4>
      </vt:variant>
    </vt:vector>
  </HeadingPairs>
  <TitlesOfParts>
    <vt:vector size="10" baseType="lpstr">
      <vt:lpstr>Czas aktywacji akcji</vt:lpstr>
      <vt:lpstr>Czas obsługi akcji</vt:lpstr>
      <vt:lpstr>Zużycie pamięci</vt:lpstr>
      <vt:lpstr>Czas przywracania ostatniego st</vt:lpstr>
      <vt:lpstr>Porównanie kodu WebAssembly-JS</vt:lpstr>
      <vt:lpstr>Czas przywracania najst stanu</vt:lpstr>
      <vt:lpstr>Podsumowanie</vt:lpstr>
      <vt:lpstr>'Zużycie pamięci'!output_memory</vt:lpstr>
      <vt:lpstr>'Czas przywracania ostatniego st'!output_revert</vt:lpstr>
      <vt:lpstr>'Czas przywracania najst stanu'!output_revert_longterm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Dawid Szczepankowski</cp:lastModifiedBy>
  <dcterms:modified xsi:type="dcterms:W3CDTF">2025-01-08T19:42:13Z</dcterms:modified>
</cp:coreProperties>
</file>